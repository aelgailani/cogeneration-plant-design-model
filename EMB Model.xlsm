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med\Desktop\Sample Works\EMB Model\"/>
    </mc:Choice>
  </mc:AlternateContent>
  <bookViews>
    <workbookView xWindow="0" yWindow="0" windowWidth="11940" windowHeight="5130" tabRatio="823"/>
  </bookViews>
  <sheets>
    <sheet name="EMB (Separated Units)" sheetId="25" r:id="rId1"/>
    <sheet name="EMB (Combined Units) " sheetId="27" r:id="rId2"/>
    <sheet name="Summary" sheetId="26" r:id="rId3"/>
    <sheet name="Unit Conventer" sheetId="24" r:id="rId4"/>
  </sheets>
  <externalReferences>
    <externalReference r:id="rId5"/>
  </externalReferences>
  <definedNames>
    <definedName name="solver_adj" localSheetId="1" hidden="1">'EMB (Combined Units) '!$G$4</definedName>
    <definedName name="solver_adj" localSheetId="0" hidden="1">'EMB (Separated Units)'!$G$4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'EMB (Combined Units) '!$AD$37</definedName>
    <definedName name="solver_lhs1" localSheetId="0" hidden="1">'EMB (Separated Units)'!$AF$37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'EMB (Combined Units) '!$AD$37</definedName>
    <definedName name="solver_opt" localSheetId="0" hidden="1">'EMB (Separated Units)'!$AF$37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hs1" localSheetId="1" hidden="1">0</definedName>
    <definedName name="solver_rhs1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3</definedName>
    <definedName name="solver_typ" localSheetId="0" hidden="1">3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00" i="27" l="1"/>
  <c r="AD97" i="27"/>
  <c r="AD95" i="27"/>
  <c r="AD134" i="27"/>
  <c r="Z151" i="27"/>
  <c r="P149" i="27"/>
  <c r="W148" i="27"/>
  <c r="W147" i="27"/>
  <c r="AD141" i="27"/>
  <c r="W140" i="27"/>
  <c r="W139" i="27"/>
  <c r="H139" i="27"/>
  <c r="H138" i="27"/>
  <c r="P134" i="27"/>
  <c r="P133" i="27"/>
  <c r="AB126" i="27"/>
  <c r="T122" i="27"/>
  <c r="N118" i="27"/>
  <c r="R114" i="27"/>
  <c r="AD113" i="27"/>
  <c r="S109" i="27"/>
  <c r="I123" i="27" s="1"/>
  <c r="I131" i="27" s="1"/>
  <c r="M109" i="27"/>
  <c r="K109" i="27"/>
  <c r="Z150" i="27" s="1"/>
  <c r="S108" i="27"/>
  <c r="Y104" i="27"/>
  <c r="R101" i="27"/>
  <c r="H97" i="27"/>
  <c r="L96" i="27"/>
  <c r="H96" i="27"/>
  <c r="U88" i="27"/>
  <c r="R88" i="27"/>
  <c r="O88" i="27"/>
  <c r="U87" i="27"/>
  <c r="R87" i="27"/>
  <c r="O87" i="27"/>
  <c r="L83" i="27"/>
  <c r="L82" i="27"/>
  <c r="N38" i="27"/>
  <c r="AB46" i="27" s="1"/>
  <c r="S29" i="27"/>
  <c r="I43" i="27" s="1"/>
  <c r="I51" i="27" s="1"/>
  <c r="S28" i="27"/>
  <c r="Z71" i="27"/>
  <c r="P69" i="27"/>
  <c r="W68" i="27"/>
  <c r="W67" i="27"/>
  <c r="H59" i="27"/>
  <c r="H17" i="27" s="1"/>
  <c r="P54" i="27"/>
  <c r="P53" i="27"/>
  <c r="W59" i="27" s="1"/>
  <c r="W60" i="27"/>
  <c r="B52" i="27"/>
  <c r="D4" i="27" s="1"/>
  <c r="E9" i="27" s="1"/>
  <c r="G84" i="27" s="1"/>
  <c r="B51" i="27"/>
  <c r="AD53" i="27" s="1"/>
  <c r="B50" i="27"/>
  <c r="D5" i="27" s="1"/>
  <c r="AD54" i="27"/>
  <c r="R34" i="27"/>
  <c r="AD33" i="27"/>
  <c r="M29" i="27"/>
  <c r="K29" i="27"/>
  <c r="Z70" i="27" s="1"/>
  <c r="Y24" i="27"/>
  <c r="R21" i="27"/>
  <c r="AD20" i="27"/>
  <c r="AD17" i="27"/>
  <c r="L16" i="27"/>
  <c r="H16" i="27"/>
  <c r="H58" i="27" s="1"/>
  <c r="AD15" i="27"/>
  <c r="U8" i="27"/>
  <c r="R8" i="27"/>
  <c r="U7" i="27"/>
  <c r="R7" i="27"/>
  <c r="O7" i="27"/>
  <c r="L3" i="27"/>
  <c r="O8" i="27" s="1"/>
  <c r="L2" i="27"/>
  <c r="H18" i="27"/>
  <c r="Z152" i="27"/>
  <c r="T67" i="25"/>
  <c r="H98" i="27"/>
  <c r="AD64" i="27"/>
  <c r="AF146" i="25"/>
  <c r="O89" i="25"/>
  <c r="R90" i="27"/>
  <c r="O10" i="27"/>
  <c r="H139" i="25"/>
  <c r="Z89" i="25"/>
  <c r="R10" i="27"/>
  <c r="Z148" i="25"/>
  <c r="Z69" i="25"/>
  <c r="R9" i="25"/>
  <c r="L4" i="27"/>
  <c r="AD150" i="27"/>
  <c r="T88" i="25"/>
  <c r="Z72" i="27"/>
  <c r="R9" i="27"/>
  <c r="L83" i="25"/>
  <c r="M111" i="27"/>
  <c r="L17" i="27"/>
  <c r="L4" i="25"/>
  <c r="Y49" i="27"/>
  <c r="U10" i="27"/>
  <c r="U89" i="27"/>
  <c r="AF140" i="25"/>
  <c r="O10" i="25"/>
  <c r="K111" i="27"/>
  <c r="I133" i="27"/>
  <c r="T10" i="25"/>
  <c r="O89" i="27"/>
  <c r="O90" i="27"/>
  <c r="T9" i="25"/>
  <c r="M31" i="25"/>
  <c r="M30" i="25" s="1"/>
  <c r="I132" i="25"/>
  <c r="U9" i="27"/>
  <c r="R89" i="25"/>
  <c r="K31" i="25"/>
  <c r="L84" i="27"/>
  <c r="AD70" i="27"/>
  <c r="I53" i="25"/>
  <c r="AF67" i="25"/>
  <c r="R89" i="27"/>
  <c r="Z88" i="25"/>
  <c r="R88" i="25"/>
  <c r="M110" i="27"/>
  <c r="T70" i="27"/>
  <c r="O9" i="25"/>
  <c r="H60" i="25"/>
  <c r="B27" i="27"/>
  <c r="H18" i="25"/>
  <c r="Z9" i="25"/>
  <c r="H60" i="27"/>
  <c r="I53" i="27"/>
  <c r="Z10" i="25"/>
  <c r="T66" i="25"/>
  <c r="T69" i="27"/>
  <c r="AB135" i="25"/>
  <c r="T146" i="25"/>
  <c r="AD144" i="27"/>
  <c r="L96" i="25"/>
  <c r="T145" i="25"/>
  <c r="O9" i="27"/>
  <c r="T150" i="27"/>
  <c r="Y129" i="27"/>
  <c r="AB57" i="25"/>
  <c r="H140" i="27"/>
  <c r="K110" i="25"/>
  <c r="R10" i="25"/>
  <c r="H97" i="25"/>
  <c r="T149" i="27"/>
  <c r="O88" i="25"/>
  <c r="U90" i="27"/>
  <c r="I131" i="25"/>
  <c r="M110" i="25"/>
  <c r="M31" i="27"/>
  <c r="M30" i="27" s="1"/>
  <c r="L17" i="25"/>
  <c r="L18" i="25" s="1"/>
  <c r="T89" i="25"/>
  <c r="L97" i="27"/>
  <c r="L98" i="27" s="1"/>
  <c r="K31" i="27"/>
  <c r="B27" i="25"/>
  <c r="AF61" i="25"/>
  <c r="AD135" i="27" l="1"/>
  <c r="P150" i="27"/>
  <c r="W141" i="27"/>
  <c r="P135" i="27"/>
  <c r="P148" i="27"/>
  <c r="R104" i="27"/>
  <c r="W61" i="27"/>
  <c r="P55" i="27"/>
  <c r="P70" i="27"/>
  <c r="R24" i="27"/>
  <c r="P68" i="27"/>
  <c r="AD55" i="27"/>
  <c r="AD61" i="27"/>
  <c r="T42" i="27"/>
  <c r="B50" i="25"/>
  <c r="R103" i="27"/>
  <c r="R23" i="27"/>
  <c r="AD56" i="27"/>
  <c r="U104" i="27"/>
  <c r="Y128" i="27"/>
  <c r="O105" i="25"/>
  <c r="O106" i="27"/>
  <c r="O26" i="25"/>
  <c r="I52" i="27"/>
  <c r="Z24" i="25"/>
  <c r="AB56" i="25"/>
  <c r="T24" i="25"/>
  <c r="I52" i="25"/>
  <c r="L97" i="25"/>
  <c r="AD136" i="27"/>
  <c r="T103" i="25"/>
  <c r="K30" i="25"/>
  <c r="K110" i="27"/>
  <c r="K109" i="25"/>
  <c r="I132" i="27"/>
  <c r="U24" i="27"/>
  <c r="Y48" i="27"/>
  <c r="O26" i="27"/>
  <c r="L18" i="27"/>
  <c r="L25" i="27" s="1"/>
  <c r="AB134" i="25"/>
  <c r="Z103" i="25"/>
  <c r="M109" i="25"/>
  <c r="L25" i="25"/>
  <c r="L105" i="27"/>
  <c r="U23" i="27"/>
  <c r="K30" i="27"/>
  <c r="Z23" i="25"/>
  <c r="J12" i="27" l="1"/>
  <c r="L1" i="27" s="1"/>
  <c r="S30" i="27"/>
  <c r="S31" i="27"/>
  <c r="J92" i="27"/>
  <c r="L81" i="27" s="1"/>
  <c r="H95" i="27" s="1"/>
  <c r="S111" i="27"/>
  <c r="I125" i="27" s="1"/>
  <c r="R116" i="27"/>
  <c r="P132" i="27" s="1"/>
  <c r="R113" i="27" s="1"/>
  <c r="O86" i="27"/>
  <c r="O103" i="27" s="1"/>
  <c r="R36" i="27"/>
  <c r="O6" i="27"/>
  <c r="O23" i="27" s="1"/>
  <c r="E22" i="26"/>
  <c r="E16" i="26"/>
  <c r="E12" i="26"/>
  <c r="E9" i="26"/>
  <c r="E18" i="26" s="1"/>
  <c r="E8" i="26"/>
  <c r="E17" i="26" s="1"/>
  <c r="V143" i="25"/>
  <c r="B30" i="26"/>
  <c r="B29" i="26"/>
  <c r="B28" i="26"/>
  <c r="B24" i="26"/>
  <c r="B21" i="26"/>
  <c r="B20" i="26"/>
  <c r="B19" i="26"/>
  <c r="B12" i="26"/>
  <c r="B4" i="26"/>
  <c r="B8" i="26"/>
  <c r="Z147" i="25"/>
  <c r="U103" i="27"/>
  <c r="O104" i="25"/>
  <c r="Z25" i="25"/>
  <c r="T102" i="25"/>
  <c r="T23" i="25"/>
  <c r="O105" i="27"/>
  <c r="U105" i="27"/>
  <c r="W105" i="27"/>
  <c r="T25" i="25"/>
  <c r="O25" i="25"/>
  <c r="Z102" i="25"/>
  <c r="U25" i="27"/>
  <c r="W25" i="27" s="1"/>
  <c r="W24" i="27" s="1"/>
  <c r="T104" i="25"/>
  <c r="V105" i="25" s="1"/>
  <c r="O25" i="27"/>
  <c r="L104" i="25"/>
  <c r="R115" i="27" l="1"/>
  <c r="S110" i="27"/>
  <c r="I124" i="27" s="1"/>
  <c r="R35" i="27"/>
  <c r="P52" i="27"/>
  <c r="R33" i="27" s="1"/>
  <c r="N37" i="27" s="1"/>
  <c r="U6" i="27"/>
  <c r="Y23" i="27" s="1"/>
  <c r="U86" i="27"/>
  <c r="H137" i="27"/>
  <c r="L95" i="27"/>
  <c r="P147" i="27"/>
  <c r="I122" i="27"/>
  <c r="N117" i="27"/>
  <c r="I44" i="27"/>
  <c r="I45" i="27"/>
  <c r="H15" i="27"/>
  <c r="B15" i="26"/>
  <c r="E23" i="26"/>
  <c r="E24" i="26"/>
  <c r="B13" i="26"/>
  <c r="B14" i="26" s="1"/>
  <c r="B9" i="26"/>
  <c r="Z68" i="25"/>
  <c r="V65" i="25"/>
  <c r="B52" i="25"/>
  <c r="D4" i="25" s="1"/>
  <c r="Z104" i="25"/>
  <c r="V26" i="25"/>
  <c r="V25" i="25"/>
  <c r="W104" i="27"/>
  <c r="W26" i="27"/>
  <c r="Y26" i="27"/>
  <c r="W106" i="27"/>
  <c r="V104" i="25"/>
  <c r="Y25" i="27"/>
  <c r="Y27" i="27"/>
  <c r="I42" i="27" l="1"/>
  <c r="Y103" i="27"/>
  <c r="N40" i="27"/>
  <c r="Y46" i="27"/>
  <c r="I130" i="27"/>
  <c r="AD108" i="27"/>
  <c r="M108" i="27"/>
  <c r="K108" i="27" s="1"/>
  <c r="N120" i="27"/>
  <c r="P67" i="27"/>
  <c r="H57" i="27"/>
  <c r="L15" i="27"/>
  <c r="AF99" i="25"/>
  <c r="AF96" i="25"/>
  <c r="AF94" i="25"/>
  <c r="N39" i="27"/>
  <c r="Y106" i="27"/>
  <c r="Y105" i="27" s="1"/>
  <c r="N119" i="27"/>
  <c r="Z101" i="27" l="1"/>
  <c r="AD102" i="27" s="1"/>
  <c r="W58" i="27"/>
  <c r="Y126" i="27"/>
  <c r="AB127" i="27"/>
  <c r="T123" i="27"/>
  <c r="Z149" i="27"/>
  <c r="W150" i="27"/>
  <c r="T124" i="27"/>
  <c r="AB128" i="27"/>
  <c r="W138" i="27"/>
  <c r="I50" i="27"/>
  <c r="AD28" i="27"/>
  <c r="M28" i="27"/>
  <c r="K28" i="27" s="1"/>
  <c r="AF139" i="25"/>
  <c r="P98" i="25"/>
  <c r="P97" i="25"/>
  <c r="T101" i="25"/>
  <c r="S108" i="25" s="1"/>
  <c r="I122" i="25" s="1"/>
  <c r="I130" i="25" s="1"/>
  <c r="AF138" i="25"/>
  <c r="AF144" i="25"/>
  <c r="V144" i="25" s="1"/>
  <c r="T144" i="25"/>
  <c r="V131" i="25" s="1"/>
  <c r="L103" i="25"/>
  <c r="M108" i="25" s="1"/>
  <c r="X99" i="25"/>
  <c r="X98" i="25"/>
  <c r="X97" i="25"/>
  <c r="X96" i="25"/>
  <c r="AD99" i="25"/>
  <c r="AD98" i="25"/>
  <c r="AD97" i="25"/>
  <c r="AD96" i="25"/>
  <c r="J89" i="25"/>
  <c r="J88" i="25"/>
  <c r="R87" i="25" s="1"/>
  <c r="J87" i="25"/>
  <c r="L81" i="25" s="1"/>
  <c r="P132" i="25"/>
  <c r="V130" i="25" s="1"/>
  <c r="AF124" i="25"/>
  <c r="AF137" i="25" s="1"/>
  <c r="N117" i="25"/>
  <c r="Y121" i="25" s="1"/>
  <c r="R113" i="25"/>
  <c r="AF112" i="25"/>
  <c r="S107" i="25"/>
  <c r="AB103" i="25"/>
  <c r="R100" i="25"/>
  <c r="Y107" i="27"/>
  <c r="AB105" i="25"/>
  <c r="W149" i="27"/>
  <c r="T121" i="27" l="1"/>
  <c r="R152" i="27" s="1"/>
  <c r="Z21" i="27"/>
  <c r="AD22" i="27" s="1"/>
  <c r="AB125" i="27"/>
  <c r="Z69" i="27"/>
  <c r="W70" i="27"/>
  <c r="Z87" i="25"/>
  <c r="T87" i="25"/>
  <c r="L82" i="25"/>
  <c r="O86" i="25"/>
  <c r="P133" i="25"/>
  <c r="H138" i="25"/>
  <c r="H95" i="25"/>
  <c r="P145" i="25"/>
  <c r="K108" i="25"/>
  <c r="Z146" i="25" s="1"/>
  <c r="R86" i="25"/>
  <c r="L95" i="25"/>
  <c r="T86" i="25"/>
  <c r="Z86" i="25"/>
  <c r="P134" i="25"/>
  <c r="P146" i="25"/>
  <c r="V132" i="25"/>
  <c r="P144" i="25"/>
  <c r="T121" i="25"/>
  <c r="AB104" i="25"/>
  <c r="W69" i="27"/>
  <c r="AE147" i="27" l="1"/>
  <c r="AD117" i="27"/>
  <c r="R153" i="27"/>
  <c r="T43" i="27"/>
  <c r="AB47" i="27"/>
  <c r="AB48" i="27"/>
  <c r="T44" i="27"/>
  <c r="T41" i="27" s="1"/>
  <c r="AB45" i="27"/>
  <c r="O87" i="25"/>
  <c r="H137" i="25"/>
  <c r="R103" i="25"/>
  <c r="R102" i="25"/>
  <c r="AE67" i="27" l="1"/>
  <c r="V102" i="25"/>
  <c r="AD37" i="27" l="1"/>
  <c r="R72" i="27"/>
  <c r="R73" i="27"/>
  <c r="S110" i="25"/>
  <c r="O85" i="25"/>
  <c r="O102" i="25" s="1"/>
  <c r="R115" i="25"/>
  <c r="P131" i="25" s="1"/>
  <c r="R112" i="25" s="1"/>
  <c r="S109" i="25"/>
  <c r="R114" i="25" l="1"/>
  <c r="N116" i="25"/>
  <c r="I123" i="25"/>
  <c r="I124" i="25"/>
  <c r="V100" i="25" l="1"/>
  <c r="N119" i="25"/>
  <c r="AF33" i="25"/>
  <c r="N38" i="25"/>
  <c r="Y42" i="25" s="1"/>
  <c r="N118" i="25"/>
  <c r="Y123" i="25" l="1"/>
  <c r="T122" i="25"/>
  <c r="Y122" i="25"/>
  <c r="T123" i="25"/>
  <c r="AF15" i="25"/>
  <c r="T42" i="25"/>
  <c r="P66" i="25"/>
  <c r="D5" i="25"/>
  <c r="S29" i="25"/>
  <c r="V52" i="25" l="1"/>
  <c r="R34" i="25"/>
  <c r="P54" i="25"/>
  <c r="P53" i="25"/>
  <c r="V51" i="25" s="1"/>
  <c r="H59" i="25"/>
  <c r="H17" i="25" s="1"/>
  <c r="H96" i="25" s="1"/>
  <c r="AF17" i="25"/>
  <c r="K29" i="25"/>
  <c r="Z67" i="25" s="1"/>
  <c r="M29" i="25"/>
  <c r="AF20" i="25"/>
  <c r="H16" i="25"/>
  <c r="H58" i="25" s="1"/>
  <c r="AB23" i="25"/>
  <c r="AB54" i="25" s="1"/>
  <c r="AB24" i="25"/>
  <c r="AB26" i="25"/>
  <c r="P67" i="25" l="1"/>
  <c r="V53" i="25"/>
  <c r="P55" i="25"/>
  <c r="L16" i="25"/>
  <c r="AF46" i="25"/>
  <c r="AF125" i="25" s="1"/>
  <c r="B51" i="25"/>
  <c r="AF45" i="25" s="1"/>
  <c r="AF58" i="25" s="1"/>
  <c r="Z7" i="25"/>
  <c r="Z8" i="25"/>
  <c r="T8" i="25"/>
  <c r="T7" i="25"/>
  <c r="R8" i="25"/>
  <c r="R7" i="25"/>
  <c r="O7" i="25"/>
  <c r="L3" i="25"/>
  <c r="O8" i="25" s="1"/>
  <c r="L2" i="25"/>
  <c r="E9" i="25"/>
  <c r="G83" i="25" s="1"/>
  <c r="B33" i="26" s="1"/>
  <c r="AB25" i="25"/>
  <c r="P65" i="25" l="1"/>
  <c r="R24" i="25"/>
  <c r="R21" i="25"/>
  <c r="AF47" i="25"/>
  <c r="AF48" i="25"/>
  <c r="R23" i="25"/>
  <c r="AF126" i="25" l="1"/>
  <c r="O6" i="25"/>
  <c r="J12" i="25"/>
  <c r="E10" i="26" s="1"/>
  <c r="S31" i="25"/>
  <c r="R36" i="25"/>
  <c r="P52" i="25" s="1"/>
  <c r="R33" i="25" s="1"/>
  <c r="S30" i="25"/>
  <c r="AF127" i="25"/>
  <c r="V129" i="25" l="1"/>
  <c r="Y120" i="25" s="1"/>
  <c r="L1" i="25"/>
  <c r="J91" i="25"/>
  <c r="L80" i="25" s="1"/>
  <c r="B32" i="26" s="1"/>
  <c r="R35" i="25"/>
  <c r="O23" i="25"/>
  <c r="D5" i="24"/>
  <c r="D4" i="24"/>
  <c r="D3" i="24"/>
  <c r="D2" i="24"/>
  <c r="B23" i="26" l="1"/>
  <c r="E11" i="26"/>
  <c r="H15" i="25"/>
  <c r="P64" i="25" s="1"/>
  <c r="T6" i="25"/>
  <c r="AB21" i="25"/>
  <c r="H94" i="25"/>
  <c r="Z85" i="25"/>
  <c r="H57" i="25" l="1"/>
  <c r="L15" i="25"/>
  <c r="M28" i="25" s="1"/>
  <c r="AB102" i="25"/>
  <c r="AB132" i="25" s="1"/>
  <c r="L94" i="25"/>
  <c r="M107" i="25" s="1"/>
  <c r="K107" i="25" s="1"/>
  <c r="Z145" i="25" s="1"/>
  <c r="P143" i="25"/>
  <c r="H136" i="25"/>
  <c r="I121" i="25"/>
  <c r="K28" i="25" l="1"/>
  <c r="Z66" i="25" s="1"/>
  <c r="I129" i="25"/>
  <c r="AF107" i="25"/>
  <c r="AB100" i="25"/>
  <c r="E21" i="26" s="1"/>
  <c r="AF101" i="25" l="1"/>
  <c r="B31" i="26" s="1"/>
  <c r="B27" i="26"/>
  <c r="I45" i="25"/>
  <c r="V23" i="25" l="1"/>
  <c r="V21" i="25" l="1"/>
  <c r="E15" i="26" s="1"/>
  <c r="I44" i="25"/>
  <c r="I43" i="25"/>
  <c r="I51" i="25" s="1"/>
  <c r="N37" i="25"/>
  <c r="N40" i="25" s="1"/>
  <c r="S28" i="25"/>
  <c r="N39" i="25"/>
  <c r="AF22" i="25" l="1"/>
  <c r="B22" i="26" s="1"/>
  <c r="E5" i="26" s="1"/>
  <c r="B18" i="26"/>
  <c r="E4" i="26" s="1"/>
  <c r="I42" i="25"/>
  <c r="Y43" i="25"/>
  <c r="T44" i="25"/>
  <c r="Y44" i="25"/>
  <c r="T43" i="25"/>
  <c r="V50" i="25"/>
  <c r="Y41" i="25" s="1"/>
  <c r="I50" i="25" l="1"/>
  <c r="AF28" i="25"/>
  <c r="V146" i="25" l="1"/>
  <c r="V145" i="25"/>
  <c r="T120" i="25" l="1"/>
  <c r="R150" i="25" s="1"/>
  <c r="AF116" i="25" l="1"/>
  <c r="AG143" i="25"/>
  <c r="R149" i="25"/>
  <c r="V64" i="25" l="1"/>
  <c r="V67" i="25"/>
  <c r="V66" i="25"/>
  <c r="T41" i="25" l="1"/>
  <c r="AG64" i="25" l="1"/>
  <c r="AF37" i="25"/>
  <c r="R70" i="25"/>
  <c r="R71" i="25"/>
</calcChain>
</file>

<file path=xl/sharedStrings.xml><?xml version="1.0" encoding="utf-8"?>
<sst xmlns="http://schemas.openxmlformats.org/spreadsheetml/2006/main" count="272" uniqueCount="102">
  <si>
    <t>S/B</t>
  </si>
  <si>
    <t>Trash</t>
  </si>
  <si>
    <t>Bagasse NCV</t>
  </si>
  <si>
    <t>NCV</t>
  </si>
  <si>
    <t>To Process</t>
  </si>
  <si>
    <t>Make Up</t>
  </si>
  <si>
    <t>On Crop</t>
  </si>
  <si>
    <t>Off Crop</t>
  </si>
  <si>
    <t>from</t>
  </si>
  <si>
    <t>to</t>
  </si>
  <si>
    <t>Kcal</t>
  </si>
  <si>
    <t>kJ</t>
  </si>
  <si>
    <t>KJ</t>
  </si>
  <si>
    <t>kcal</t>
  </si>
  <si>
    <t>F</t>
  </si>
  <si>
    <r>
      <rPr>
        <sz val="11"/>
        <color theme="1"/>
        <rFont val="Times New Roman"/>
        <family val="1"/>
      </rPr>
      <t>°</t>
    </r>
    <r>
      <rPr>
        <sz val="11"/>
        <color theme="1"/>
        <rFont val="Calibri"/>
        <family val="2"/>
      </rPr>
      <t>C</t>
    </r>
  </si>
  <si>
    <t>Factory</t>
  </si>
  <si>
    <t>Irrigation</t>
  </si>
  <si>
    <t>Total Cane</t>
  </si>
  <si>
    <t>Project</t>
  </si>
  <si>
    <t>DSR</t>
  </si>
  <si>
    <t>Input Data</t>
  </si>
  <si>
    <t>Crushing Days</t>
  </si>
  <si>
    <t>Time Efficiency</t>
  </si>
  <si>
    <t>General :</t>
  </si>
  <si>
    <t>Bagasse :</t>
  </si>
  <si>
    <t>Bagasse Losses</t>
  </si>
  <si>
    <t>Moisture</t>
  </si>
  <si>
    <t>Brix</t>
  </si>
  <si>
    <t>Cane :</t>
  </si>
  <si>
    <t>Steam :</t>
  </si>
  <si>
    <t>Ash</t>
  </si>
  <si>
    <t xml:space="preserve">Fiber </t>
  </si>
  <si>
    <t xml:space="preserve">Bagasse/Cane </t>
  </si>
  <si>
    <t>Process Steam/Cane</t>
  </si>
  <si>
    <t>Process Steam Pressure</t>
  </si>
  <si>
    <t>Ethanol Steam</t>
  </si>
  <si>
    <t>Ethanol Steam pressure</t>
  </si>
  <si>
    <t>Ethanol Working Days</t>
  </si>
  <si>
    <t>Village</t>
  </si>
  <si>
    <t>Off Crop Power Needs :</t>
  </si>
  <si>
    <t>On Crop Power Needs :</t>
  </si>
  <si>
    <t>Pressure</t>
  </si>
  <si>
    <t>Temp</t>
  </si>
  <si>
    <t>BD /FW</t>
  </si>
  <si>
    <t>Eff /NCV</t>
  </si>
  <si>
    <t>Calculations</t>
  </si>
  <si>
    <t>Crushing Rate</t>
  </si>
  <si>
    <t>Process Steam Temp</t>
  </si>
  <si>
    <t>Load</t>
  </si>
  <si>
    <t>M eff</t>
  </si>
  <si>
    <t>1st eff</t>
  </si>
  <si>
    <t>2nd eff</t>
  </si>
  <si>
    <t>G eff</t>
  </si>
  <si>
    <t>Other Needs &amp; Losses</t>
  </si>
  <si>
    <t>Vent Out</t>
  </si>
  <si>
    <t>Return Condesate</t>
  </si>
  <si>
    <t>NEC</t>
  </si>
  <si>
    <t>To Trench</t>
  </si>
  <si>
    <t>Other Needs</t>
  </si>
  <si>
    <t>Enthalpy</t>
  </si>
  <si>
    <t>Bagasse</t>
  </si>
  <si>
    <t>To Yard</t>
  </si>
  <si>
    <t>Ethanol &amp; Other Needs</t>
  </si>
  <si>
    <t>Prime Movers</t>
  </si>
  <si>
    <t>Trash Rate</t>
  </si>
  <si>
    <t>Crushing Season Length</t>
  </si>
  <si>
    <t>Total Trash</t>
  </si>
  <si>
    <t>Total Bagasse</t>
  </si>
  <si>
    <t>GENERAL</t>
  </si>
  <si>
    <t>CANE</t>
  </si>
  <si>
    <t>BAGASSE</t>
  </si>
  <si>
    <t>Lost Bagasse</t>
  </si>
  <si>
    <t>Total Power Generation</t>
  </si>
  <si>
    <t xml:space="preserve">Factory </t>
  </si>
  <si>
    <t>Excess Power</t>
  </si>
  <si>
    <t>Steam Demand</t>
  </si>
  <si>
    <t>Bagasse Production Rate</t>
  </si>
  <si>
    <t>POWER SUMMARY</t>
  </si>
  <si>
    <t>Total Genertion</t>
  </si>
  <si>
    <t>Bagasse Consumption Rate</t>
  </si>
  <si>
    <t>Overflow</t>
  </si>
  <si>
    <t>Boilers</t>
  </si>
  <si>
    <t>Number</t>
  </si>
  <si>
    <t>Operating Capacity</t>
  </si>
  <si>
    <t>STGs</t>
  </si>
  <si>
    <t>Number of BP-STGs</t>
  </si>
  <si>
    <t>Number of CP-STGs</t>
  </si>
  <si>
    <t>MCR</t>
  </si>
  <si>
    <t>Temperature</t>
  </si>
  <si>
    <t>Steam/Bagasse</t>
  </si>
  <si>
    <t>BP-STGs Capacity</t>
  </si>
  <si>
    <t>BP-STGs Number</t>
  </si>
  <si>
    <t>Operating Pressure</t>
  </si>
  <si>
    <t>Operating Temperature</t>
  </si>
  <si>
    <t>BP-STGs</t>
  </si>
  <si>
    <t>CP-STGs</t>
  </si>
  <si>
    <t>C-STGs Capacity</t>
  </si>
  <si>
    <t>C-STGs Number</t>
  </si>
  <si>
    <t>3rd eff</t>
  </si>
  <si>
    <t>`</t>
  </si>
  <si>
    <r>
      <t xml:space="preserve">Note: Enter data into cells in </t>
    </r>
    <r>
      <rPr>
        <sz val="11"/>
        <color rgb="FF0000FF"/>
        <rFont val="Calibri"/>
        <family val="2"/>
        <scheme val="minor"/>
      </rPr>
      <t>blue</t>
    </r>
    <r>
      <rPr>
        <sz val="11"/>
        <color rgb="FFFF0000"/>
        <rFont val="Calibri"/>
        <family val="2"/>
        <scheme val="minor"/>
      </rPr>
      <t xml:space="preserve"> only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</si>
</sst>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(* #,##0.00_);_(* \(#,##0.00\);_(* &quot;-&quot;??_);_(@_)"/>
    <numFmt numFmtId="164" formatCode="#,##0&quot;   ton&quot;"/>
    <numFmt numFmtId="165" formatCode="0.00&quot;  t/h&quot;"/>
    <numFmt numFmtId="166" formatCode="0.00&quot;  bar&quot;"/>
    <numFmt numFmtId="167" formatCode="0.00&quot;  kJ/kgK&quot;"/>
    <numFmt numFmtId="168" formatCode="0.00&quot;  °C&quot;"/>
    <numFmt numFmtId="169" formatCode="0.00&quot; MW&quot;"/>
    <numFmt numFmtId="170" formatCode="0&quot;  kJ/kg&quot;"/>
    <numFmt numFmtId="171" formatCode="0.0&quot;  t/h&quot;"/>
    <numFmt numFmtId="172" formatCode="0.00000000000000"/>
    <numFmt numFmtId="173" formatCode="0&quot;  t/h&quot;"/>
    <numFmt numFmtId="174" formatCode="General\ &quot;  Day&quot;"/>
    <numFmt numFmtId="175" formatCode="0.00&quot;  kJ/h&quot;"/>
    <numFmt numFmtId="176" formatCode="0&quot; MW&quot;"/>
    <numFmt numFmtId="177" formatCode="0.0%"/>
    <numFmt numFmtId="178" formatCode="0%&quot;  Th eff&quot;"/>
    <numFmt numFmtId="179" formatCode="0%&quot;  M eff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rgb="FF008000"/>
      <name val="Calibri"/>
      <family val="2"/>
      <scheme val="minor"/>
    </font>
    <font>
      <b/>
      <u/>
      <sz val="11"/>
      <color theme="5" tint="-0.499984740745262"/>
      <name val="Calibri"/>
      <family val="2"/>
      <scheme val="minor"/>
    </font>
    <font>
      <b/>
      <u/>
      <sz val="11"/>
      <color rgb="FF0000F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u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211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2" fontId="0" fillId="0" borderId="0" xfId="0" applyNumberFormat="1"/>
    <xf numFmtId="0" fontId="4" fillId="0" borderId="0" xfId="2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12" fontId="0" fillId="0" borderId="0" xfId="0" applyNumberFormat="1"/>
    <xf numFmtId="0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6" fontId="0" fillId="0" borderId="0" xfId="0" applyNumberFormat="1"/>
    <xf numFmtId="166" fontId="7" fillId="0" borderId="0" xfId="0" applyNumberFormat="1" applyFont="1"/>
    <xf numFmtId="0" fontId="7" fillId="0" borderId="0" xfId="0" applyFont="1" applyAlignment="1">
      <alignment horizontal="left"/>
    </xf>
    <xf numFmtId="9" fontId="7" fillId="0" borderId="0" xfId="3" applyFont="1" applyAlignment="1">
      <alignment horizontal="left"/>
    </xf>
    <xf numFmtId="164" fontId="7" fillId="0" borderId="0" xfId="0" applyNumberFormat="1" applyFont="1" applyAlignment="1">
      <alignment horizontal="left"/>
    </xf>
    <xf numFmtId="166" fontId="7" fillId="0" borderId="0" xfId="0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9" fontId="7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166" fontId="0" fillId="0" borderId="0" xfId="0" applyNumberFormat="1" applyAlignment="1">
      <alignment horizontal="left"/>
    </xf>
    <xf numFmtId="168" fontId="0" fillId="0" borderId="0" xfId="0" applyNumberFormat="1" applyAlignment="1">
      <alignment horizontal="left"/>
    </xf>
    <xf numFmtId="170" fontId="0" fillId="0" borderId="0" xfId="0" applyNumberFormat="1"/>
    <xf numFmtId="170" fontId="10" fillId="0" borderId="0" xfId="0" applyNumberFormat="1" applyFont="1" applyAlignment="1">
      <alignment horizontal="left"/>
    </xf>
    <xf numFmtId="166" fontId="9" fillId="0" borderId="0" xfId="0" applyNumberFormat="1" applyFont="1" applyAlignment="1">
      <alignment horizontal="left"/>
    </xf>
    <xf numFmtId="0" fontId="9" fillId="0" borderId="0" xfId="0" applyFont="1"/>
    <xf numFmtId="168" fontId="9" fillId="0" borderId="0" xfId="0" applyNumberFormat="1" applyFont="1" applyAlignment="1">
      <alignment horizontal="left"/>
    </xf>
    <xf numFmtId="170" fontId="9" fillId="0" borderId="0" xfId="0" applyNumberFormat="1" applyFont="1" applyAlignment="1">
      <alignment horizontal="left"/>
    </xf>
    <xf numFmtId="167" fontId="9" fillId="0" borderId="0" xfId="0" applyNumberFormat="1" applyFont="1"/>
    <xf numFmtId="167" fontId="9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9" fillId="0" borderId="0" xfId="0" applyNumberFormat="1" applyFont="1" applyAlignment="1">
      <alignment horizontal="left"/>
    </xf>
    <xf numFmtId="168" fontId="7" fillId="0" borderId="0" xfId="0" applyNumberFormat="1" applyFont="1" applyAlignment="1">
      <alignment horizontal="left"/>
    </xf>
    <xf numFmtId="165" fontId="7" fillId="0" borderId="0" xfId="0" applyNumberFormat="1" applyFont="1"/>
    <xf numFmtId="165" fontId="9" fillId="0" borderId="0" xfId="0" applyNumberFormat="1" applyFont="1"/>
    <xf numFmtId="168" fontId="9" fillId="0" borderId="0" xfId="0" applyNumberFormat="1" applyFont="1"/>
    <xf numFmtId="170" fontId="9" fillId="0" borderId="0" xfId="0" applyNumberFormat="1" applyFont="1"/>
    <xf numFmtId="165" fontId="7" fillId="0" borderId="0" xfId="0" applyNumberFormat="1" applyFont="1" applyAlignment="1">
      <alignment horizontal="left"/>
    </xf>
    <xf numFmtId="168" fontId="0" fillId="0" borderId="0" xfId="0" applyNumberFormat="1"/>
    <xf numFmtId="0" fontId="8" fillId="0" borderId="0" xfId="0" applyFont="1" applyAlignment="1">
      <alignment horizontal="center"/>
    </xf>
    <xf numFmtId="170" fontId="0" fillId="0" borderId="0" xfId="0" applyNumberFormat="1" applyAlignment="1">
      <alignment horizontal="left"/>
    </xf>
    <xf numFmtId="0" fontId="1" fillId="0" borderId="3" xfId="0" applyFont="1" applyBorder="1"/>
    <xf numFmtId="166" fontId="0" fillId="0" borderId="3" xfId="0" applyNumberFormat="1" applyBorder="1" applyAlignment="1">
      <alignment horizontal="left"/>
    </xf>
    <xf numFmtId="168" fontId="6" fillId="0" borderId="3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166" fontId="7" fillId="0" borderId="2" xfId="0" applyNumberFormat="1" applyFont="1" applyBorder="1"/>
    <xf numFmtId="168" fontId="7" fillId="0" borderId="4" xfId="0" applyNumberFormat="1" applyFont="1" applyBorder="1"/>
    <xf numFmtId="9" fontId="7" fillId="0" borderId="4" xfId="3" applyFont="1" applyBorder="1"/>
    <xf numFmtId="2" fontId="9" fillId="0" borderId="6" xfId="0" applyNumberFormat="1" applyFont="1" applyBorder="1" applyAlignment="1">
      <alignment horizontal="right"/>
    </xf>
    <xf numFmtId="169" fontId="11" fillId="0" borderId="0" xfId="0" applyNumberFormat="1" applyFont="1" applyBorder="1"/>
    <xf numFmtId="169" fontId="11" fillId="0" borderId="0" xfId="0" applyNumberFormat="1" applyFont="1" applyBorder="1" applyAlignment="1">
      <alignment horizontal="left"/>
    </xf>
    <xf numFmtId="169" fontId="12" fillId="0" borderId="0" xfId="0" applyNumberFormat="1" applyFont="1" applyBorder="1" applyAlignment="1">
      <alignment horizontal="center"/>
    </xf>
    <xf numFmtId="166" fontId="0" fillId="0" borderId="0" xfId="0" applyNumberFormat="1" applyAlignment="1">
      <alignment horizontal="right"/>
    </xf>
    <xf numFmtId="166" fontId="7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center"/>
    </xf>
    <xf numFmtId="165" fontId="0" fillId="0" borderId="0" xfId="0" applyNumberFormat="1" applyAlignment="1">
      <alignment horizontal="right"/>
    </xf>
    <xf numFmtId="165" fontId="9" fillId="0" borderId="0" xfId="0" applyNumberFormat="1" applyFont="1" applyAlignment="1">
      <alignment horizontal="right"/>
    </xf>
    <xf numFmtId="168" fontId="9" fillId="0" borderId="0" xfId="0" applyNumberFormat="1" applyFont="1" applyAlignment="1">
      <alignment horizontal="right"/>
    </xf>
    <xf numFmtId="170" fontId="9" fillId="0" borderId="0" xfId="0" applyNumberFormat="1" applyFont="1" applyAlignment="1">
      <alignment horizontal="right"/>
    </xf>
    <xf numFmtId="166" fontId="9" fillId="0" borderId="0" xfId="0" applyNumberFormat="1" applyFont="1"/>
    <xf numFmtId="170" fontId="9" fillId="0" borderId="3" xfId="0" applyNumberFormat="1" applyFont="1" applyBorder="1" applyAlignment="1">
      <alignment horizontal="left"/>
    </xf>
    <xf numFmtId="171" fontId="9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/>
    <xf numFmtId="0" fontId="1" fillId="0" borderId="0" xfId="0" applyFont="1" applyAlignment="1">
      <alignment horizontal="center"/>
    </xf>
    <xf numFmtId="165" fontId="9" fillId="0" borderId="4" xfId="0" applyNumberFormat="1" applyFont="1" applyBorder="1" applyAlignment="1">
      <alignment horizontal="right"/>
    </xf>
    <xf numFmtId="166" fontId="7" fillId="0" borderId="4" xfId="0" applyNumberFormat="1" applyFont="1" applyBorder="1" applyAlignment="1">
      <alignment horizontal="right"/>
    </xf>
    <xf numFmtId="168" fontId="9" fillId="0" borderId="4" xfId="0" applyNumberFormat="1" applyFont="1" applyBorder="1" applyAlignment="1">
      <alignment horizontal="right"/>
    </xf>
    <xf numFmtId="170" fontId="9" fillId="0" borderId="4" xfId="0" applyNumberFormat="1" applyFont="1" applyBorder="1" applyAlignment="1">
      <alignment horizontal="right"/>
    </xf>
    <xf numFmtId="166" fontId="0" fillId="0" borderId="4" xfId="0" applyNumberFormat="1" applyBorder="1" applyAlignment="1">
      <alignment horizontal="right"/>
    </xf>
    <xf numFmtId="2" fontId="13" fillId="0" borderId="0" xfId="0" applyNumberFormat="1" applyFont="1" applyAlignment="1">
      <alignment horizontal="left"/>
    </xf>
    <xf numFmtId="166" fontId="7" fillId="0" borderId="3" xfId="0" applyNumberFormat="1" applyFont="1" applyBorder="1" applyAlignment="1">
      <alignment horizontal="left"/>
    </xf>
    <xf numFmtId="168" fontId="7" fillId="0" borderId="3" xfId="0" applyNumberFormat="1" applyFont="1" applyBorder="1" applyAlignment="1">
      <alignment horizontal="left"/>
    </xf>
    <xf numFmtId="166" fontId="1" fillId="0" borderId="0" xfId="0" applyNumberFormat="1" applyFont="1" applyAlignment="1">
      <alignment horizontal="center"/>
    </xf>
    <xf numFmtId="0" fontId="1" fillId="0" borderId="4" xfId="0" applyFont="1" applyBorder="1" applyAlignment="1">
      <alignment horizontal="left"/>
    </xf>
    <xf numFmtId="165" fontId="9" fillId="0" borderId="4" xfId="0" applyNumberFormat="1" applyFont="1" applyBorder="1" applyAlignment="1">
      <alignment horizontal="left"/>
    </xf>
    <xf numFmtId="170" fontId="0" fillId="0" borderId="4" xfId="0" applyNumberFormat="1" applyBorder="1" applyAlignment="1">
      <alignment horizontal="left"/>
    </xf>
    <xf numFmtId="168" fontId="7" fillId="0" borderId="2" xfId="0" applyNumberFormat="1" applyFont="1" applyBorder="1" applyAlignment="1">
      <alignment horizontal="left"/>
    </xf>
    <xf numFmtId="166" fontId="9" fillId="0" borderId="4" xfId="0" applyNumberFormat="1" applyFont="1" applyBorder="1" applyAlignment="1">
      <alignment horizontal="left"/>
    </xf>
    <xf numFmtId="170" fontId="9" fillId="0" borderId="6" xfId="0" applyNumberFormat="1" applyFont="1" applyBorder="1" applyAlignment="1">
      <alignment horizontal="left"/>
    </xf>
    <xf numFmtId="165" fontId="7" fillId="0" borderId="3" xfId="0" applyNumberFormat="1" applyFont="1" applyBorder="1" applyAlignment="1">
      <alignment horizontal="left"/>
    </xf>
    <xf numFmtId="165" fontId="9" fillId="0" borderId="3" xfId="0" applyNumberFormat="1" applyFont="1" applyBorder="1" applyAlignment="1">
      <alignment horizontal="left"/>
    </xf>
    <xf numFmtId="172" fontId="0" fillId="0" borderId="0" xfId="0" applyNumberFormat="1"/>
    <xf numFmtId="0" fontId="1" fillId="0" borderId="0" xfId="0" applyFont="1" applyBorder="1" applyAlignment="1">
      <alignment horizontal="left"/>
    </xf>
    <xf numFmtId="165" fontId="9" fillId="0" borderId="0" xfId="0" applyNumberFormat="1" applyFont="1" applyBorder="1" applyAlignment="1">
      <alignment horizontal="left"/>
    </xf>
    <xf numFmtId="170" fontId="0" fillId="0" borderId="0" xfId="0" applyNumberFormat="1" applyBorder="1" applyAlignment="1">
      <alignment horizontal="left"/>
    </xf>
    <xf numFmtId="166" fontId="6" fillId="0" borderId="2" xfId="0" applyNumberFormat="1" applyFont="1" applyBorder="1"/>
    <xf numFmtId="168" fontId="6" fillId="0" borderId="4" xfId="0" applyNumberFormat="1" applyFont="1" applyBorder="1"/>
    <xf numFmtId="9" fontId="6" fillId="0" borderId="4" xfId="3" applyFont="1" applyBorder="1"/>
    <xf numFmtId="2" fontId="6" fillId="0" borderId="6" xfId="0" applyNumberFormat="1" applyFont="1" applyBorder="1" applyAlignment="1">
      <alignment horizontal="right"/>
    </xf>
    <xf numFmtId="9" fontId="6" fillId="0" borderId="0" xfId="3" applyFont="1" applyAlignment="1">
      <alignment horizontal="left"/>
    </xf>
    <xf numFmtId="166" fontId="6" fillId="0" borderId="0" xfId="0" applyNumberFormat="1" applyFont="1" applyAlignment="1">
      <alignment horizontal="right"/>
    </xf>
    <xf numFmtId="168" fontId="6" fillId="0" borderId="2" xfId="0" applyNumberFormat="1" applyFont="1" applyBorder="1" applyAlignment="1">
      <alignment horizontal="left"/>
    </xf>
    <xf numFmtId="166" fontId="6" fillId="0" borderId="3" xfId="0" applyNumberFormat="1" applyFont="1" applyBorder="1" applyAlignment="1">
      <alignment horizontal="left"/>
    </xf>
    <xf numFmtId="0" fontId="14" fillId="0" borderId="0" xfId="0" applyFont="1"/>
    <xf numFmtId="165" fontId="15" fillId="0" borderId="0" xfId="0" applyNumberFormat="1" applyFont="1" applyAlignment="1">
      <alignment horizontal="left"/>
    </xf>
    <xf numFmtId="166" fontId="15" fillId="0" borderId="0" xfId="0" applyNumberFormat="1" applyFont="1" applyAlignment="1">
      <alignment horizontal="left"/>
    </xf>
    <xf numFmtId="168" fontId="15" fillId="0" borderId="0" xfId="0" applyNumberFormat="1" applyFont="1" applyAlignment="1">
      <alignment horizontal="left"/>
    </xf>
    <xf numFmtId="170" fontId="15" fillId="0" borderId="0" xfId="0" applyNumberFormat="1" applyFont="1" applyAlignment="1">
      <alignment horizontal="left"/>
    </xf>
    <xf numFmtId="167" fontId="15" fillId="0" borderId="0" xfId="0" applyNumberFormat="1" applyFont="1" applyAlignment="1">
      <alignment horizontal="left"/>
    </xf>
    <xf numFmtId="0" fontId="15" fillId="0" borderId="0" xfId="0" applyFont="1" applyAlignment="1">
      <alignment horizontal="right"/>
    </xf>
    <xf numFmtId="165" fontId="15" fillId="0" borderId="0" xfId="0" applyNumberFormat="1" applyFont="1"/>
    <xf numFmtId="166" fontId="15" fillId="0" borderId="0" xfId="0" applyNumberFormat="1" applyFont="1"/>
    <xf numFmtId="168" fontId="15" fillId="0" borderId="0" xfId="0" applyNumberFormat="1" applyFont="1"/>
    <xf numFmtId="170" fontId="15" fillId="0" borderId="0" xfId="0" applyNumberFormat="1" applyFont="1"/>
    <xf numFmtId="167" fontId="15" fillId="0" borderId="0" xfId="0" applyNumberFormat="1" applyFont="1"/>
    <xf numFmtId="169" fontId="16" fillId="0" borderId="0" xfId="0" applyNumberFormat="1" applyFont="1" applyBorder="1"/>
    <xf numFmtId="0" fontId="15" fillId="0" borderId="0" xfId="0" applyFont="1"/>
    <xf numFmtId="0" fontId="17" fillId="0" borderId="0" xfId="0" applyFont="1" applyAlignment="1">
      <alignment horizontal="center"/>
    </xf>
    <xf numFmtId="169" fontId="16" fillId="0" borderId="0" xfId="0" applyNumberFormat="1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6" fontId="15" fillId="0" borderId="0" xfId="0" applyNumberFormat="1" applyFont="1" applyAlignment="1">
      <alignment horizontal="right"/>
    </xf>
    <xf numFmtId="168" fontId="15" fillId="0" borderId="0" xfId="0" applyNumberFormat="1" applyFont="1" applyAlignment="1">
      <alignment horizontal="right"/>
    </xf>
    <xf numFmtId="170" fontId="15" fillId="0" borderId="0" xfId="0" applyNumberFormat="1" applyFont="1" applyAlignment="1">
      <alignment horizontal="right"/>
    </xf>
    <xf numFmtId="0" fontId="17" fillId="0" borderId="7" xfId="0" applyFont="1" applyBorder="1"/>
    <xf numFmtId="165" fontId="15" fillId="0" borderId="7" xfId="0" applyNumberFormat="1" applyFont="1" applyBorder="1" applyAlignment="1">
      <alignment horizontal="left"/>
    </xf>
    <xf numFmtId="166" fontId="15" fillId="0" borderId="7" xfId="0" applyNumberFormat="1" applyFont="1" applyBorder="1" applyAlignment="1">
      <alignment horizontal="left"/>
    </xf>
    <xf numFmtId="168" fontId="15" fillId="0" borderId="7" xfId="0" applyNumberFormat="1" applyFont="1" applyBorder="1" applyAlignment="1">
      <alignment horizontal="left"/>
    </xf>
    <xf numFmtId="170" fontId="15" fillId="0" borderId="7" xfId="0" applyNumberFormat="1" applyFont="1" applyBorder="1" applyAlignment="1">
      <alignment horizontal="left"/>
    </xf>
    <xf numFmtId="165" fontId="4" fillId="0" borderId="0" xfId="2" applyNumberFormat="1" applyAlignment="1">
      <alignment horizontal="left"/>
    </xf>
    <xf numFmtId="168" fontId="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165" fontId="0" fillId="0" borderId="0" xfId="0" applyNumberFormat="1"/>
    <xf numFmtId="166" fontId="7" fillId="0" borderId="0" xfId="0" applyNumberFormat="1" applyFont="1" applyBorder="1" applyAlignment="1">
      <alignment horizontal="left"/>
    </xf>
    <xf numFmtId="170" fontId="9" fillId="0" borderId="0" xfId="0" applyNumberFormat="1" applyFont="1" applyBorder="1" applyAlignment="1">
      <alignment horizontal="left"/>
    </xf>
    <xf numFmtId="168" fontId="7" fillId="0" borderId="0" xfId="0" applyNumberFormat="1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/>
    <xf numFmtId="0" fontId="1" fillId="0" borderId="0" xfId="0" applyFont="1" applyAlignment="1">
      <alignment horizontal="center"/>
    </xf>
    <xf numFmtId="165" fontId="6" fillId="0" borderId="0" xfId="0" applyNumberFormat="1" applyFont="1"/>
    <xf numFmtId="169" fontId="0" fillId="0" borderId="0" xfId="0" applyNumberFormat="1" applyAlignment="1">
      <alignment horizontal="right"/>
    </xf>
    <xf numFmtId="173" fontId="0" fillId="0" borderId="0" xfId="0" applyNumberFormat="1" applyAlignment="1">
      <alignment horizontal="right"/>
    </xf>
    <xf numFmtId="0" fontId="1" fillId="2" borderId="0" xfId="0" applyFont="1" applyFill="1"/>
    <xf numFmtId="169" fontId="0" fillId="2" borderId="0" xfId="0" applyNumberFormat="1" applyFill="1" applyAlignment="1">
      <alignment horizontal="right"/>
    </xf>
    <xf numFmtId="0" fontId="1" fillId="3" borderId="0" xfId="0" applyFont="1" applyFill="1" applyAlignment="1"/>
    <xf numFmtId="0" fontId="0" fillId="0" borderId="0" xfId="0" applyAlignment="1"/>
    <xf numFmtId="164" fontId="0" fillId="0" borderId="0" xfId="1" applyNumberFormat="1" applyFont="1" applyAlignment="1">
      <alignment horizontal="right"/>
    </xf>
    <xf numFmtId="0" fontId="1" fillId="3" borderId="0" xfId="0" applyFont="1" applyFill="1" applyAlignment="1">
      <alignment horizontal="right"/>
    </xf>
    <xf numFmtId="170" fontId="0" fillId="0" borderId="0" xfId="0" applyNumberFormat="1" applyAlignment="1">
      <alignment horizontal="right"/>
    </xf>
    <xf numFmtId="174" fontId="0" fillId="0" borderId="0" xfId="0" applyNumberFormat="1" applyAlignment="1">
      <alignment horizontal="right"/>
    </xf>
    <xf numFmtId="9" fontId="0" fillId="0" borderId="0" xfId="3" applyFont="1" applyAlignment="1">
      <alignment horizontal="right"/>
    </xf>
    <xf numFmtId="165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3" fontId="1" fillId="0" borderId="0" xfId="0" applyNumberFormat="1" applyFont="1" applyAlignment="1">
      <alignment horizontal="right"/>
    </xf>
    <xf numFmtId="176" fontId="1" fillId="0" borderId="0" xfId="0" applyNumberFormat="1" applyFont="1" applyAlignment="1">
      <alignment horizontal="right"/>
    </xf>
    <xf numFmtId="0" fontId="1" fillId="0" borderId="0" xfId="0" applyFont="1" applyAlignment="1">
      <alignment horizontal="center"/>
    </xf>
    <xf numFmtId="177" fontId="7" fillId="0" borderId="0" xfId="3" applyNumberFormat="1" applyFont="1" applyAlignment="1">
      <alignment horizontal="left"/>
    </xf>
    <xf numFmtId="9" fontId="7" fillId="0" borderId="2" xfId="3" applyFont="1" applyBorder="1" applyAlignment="1">
      <alignment horizontal="left"/>
    </xf>
    <xf numFmtId="0" fontId="0" fillId="0" borderId="3" xfId="0" applyBorder="1" applyAlignment="1">
      <alignment horizontal="left"/>
    </xf>
    <xf numFmtId="9" fontId="7" fillId="0" borderId="4" xfId="3" applyFont="1" applyBorder="1" applyAlignment="1">
      <alignment horizontal="left"/>
    </xf>
    <xf numFmtId="0" fontId="0" fillId="0" borderId="5" xfId="0" applyBorder="1" applyAlignment="1">
      <alignment horizontal="left"/>
    </xf>
    <xf numFmtId="9" fontId="7" fillId="0" borderId="6" xfId="3" applyFont="1" applyBorder="1" applyAlignment="1">
      <alignment horizontal="left"/>
    </xf>
    <xf numFmtId="9" fontId="7" fillId="0" borderId="2" xfId="3" applyFont="1" applyBorder="1" applyAlignment="1">
      <alignment horizontal="center"/>
    </xf>
    <xf numFmtId="9" fontId="7" fillId="0" borderId="4" xfId="3" applyFont="1" applyBorder="1" applyAlignment="1">
      <alignment horizontal="center"/>
    </xf>
    <xf numFmtId="9" fontId="7" fillId="0" borderId="6" xfId="3" applyFont="1" applyBorder="1" applyAlignment="1">
      <alignment horizontal="center"/>
    </xf>
    <xf numFmtId="166" fontId="7" fillId="0" borderId="0" xfId="0" applyNumberFormat="1" applyFont="1" applyBorder="1" applyAlignment="1">
      <alignment horizontal="right"/>
    </xf>
    <xf numFmtId="170" fontId="9" fillId="0" borderId="0" xfId="0" applyNumberFormat="1" applyFont="1" applyBorder="1" applyAlignment="1">
      <alignment horizontal="right"/>
    </xf>
    <xf numFmtId="169" fontId="11" fillId="0" borderId="0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5" xfId="0" applyBorder="1" applyAlignment="1">
      <alignment horizontal="right"/>
    </xf>
    <xf numFmtId="9" fontId="6" fillId="0" borderId="2" xfId="3" applyFont="1" applyBorder="1" applyAlignment="1">
      <alignment horizontal="center"/>
    </xf>
    <xf numFmtId="9" fontId="6" fillId="0" borderId="4" xfId="3" applyFont="1" applyBorder="1" applyAlignment="1">
      <alignment horizontal="center"/>
    </xf>
    <xf numFmtId="9" fontId="6" fillId="0" borderId="6" xfId="3" applyFont="1" applyBorder="1" applyAlignment="1">
      <alignment horizontal="center"/>
    </xf>
    <xf numFmtId="0" fontId="15" fillId="0" borderId="0" xfId="0" applyFont="1" applyBorder="1" applyAlignment="1">
      <alignment horizontal="right"/>
    </xf>
    <xf numFmtId="9" fontId="15" fillId="0" borderId="0" xfId="3" applyFont="1" applyBorder="1" applyAlignment="1">
      <alignment horizontal="left"/>
    </xf>
    <xf numFmtId="164" fontId="0" fillId="0" borderId="0" xfId="0" applyNumberFormat="1"/>
    <xf numFmtId="165" fontId="6" fillId="0" borderId="4" xfId="0" applyNumberFormat="1" applyFont="1" applyBorder="1" applyAlignment="1">
      <alignment horizontal="right"/>
    </xf>
    <xf numFmtId="166" fontId="6" fillId="0" borderId="4" xfId="0" applyNumberFormat="1" applyFont="1" applyBorder="1" applyAlignment="1">
      <alignment horizontal="right"/>
    </xf>
    <xf numFmtId="168" fontId="6" fillId="0" borderId="4" xfId="0" applyNumberFormat="1" applyFont="1" applyBorder="1" applyAlignment="1">
      <alignment horizontal="right"/>
    </xf>
    <xf numFmtId="170" fontId="6" fillId="0" borderId="4" xfId="0" applyNumberFormat="1" applyFont="1" applyBorder="1" applyAlignment="1">
      <alignment horizontal="right"/>
    </xf>
    <xf numFmtId="0" fontId="18" fillId="0" borderId="0" xfId="0" applyFont="1"/>
    <xf numFmtId="165" fontId="7" fillId="0" borderId="0" xfId="0" applyNumberFormat="1" applyFont="1" applyAlignment="1">
      <alignment horizontal="right"/>
    </xf>
    <xf numFmtId="178" fontId="7" fillId="0" borderId="0" xfId="3" applyNumberFormat="1" applyFont="1" applyAlignment="1">
      <alignment horizontal="left"/>
    </xf>
    <xf numFmtId="179" fontId="7" fillId="0" borderId="0" xfId="3" applyNumberFormat="1" applyFont="1" applyAlignment="1">
      <alignment horizontal="left"/>
    </xf>
    <xf numFmtId="178" fontId="18" fillId="0" borderId="0" xfId="3" applyNumberFormat="1" applyFont="1" applyAlignment="1">
      <alignment horizontal="left"/>
    </xf>
    <xf numFmtId="178" fontId="15" fillId="0" borderId="0" xfId="3" applyNumberFormat="1" applyFont="1" applyAlignment="1">
      <alignment horizontal="left"/>
    </xf>
    <xf numFmtId="179" fontId="15" fillId="0" borderId="0" xfId="3" applyNumberFormat="1" applyFont="1" applyAlignment="1">
      <alignment horizontal="left"/>
    </xf>
    <xf numFmtId="165" fontId="18" fillId="0" borderId="0" xfId="0" applyNumberFormat="1" applyFont="1" applyAlignment="1">
      <alignment horizontal="left"/>
    </xf>
    <xf numFmtId="166" fontId="18" fillId="0" borderId="0" xfId="0" applyNumberFormat="1" applyFont="1" applyAlignment="1">
      <alignment horizontal="left"/>
    </xf>
    <xf numFmtId="168" fontId="18" fillId="0" borderId="0" xfId="0" applyNumberFormat="1" applyFont="1" applyAlignment="1">
      <alignment horizontal="left"/>
    </xf>
    <xf numFmtId="170" fontId="18" fillId="0" borderId="0" xfId="0" applyNumberFormat="1" applyFont="1" applyAlignment="1">
      <alignment horizontal="left"/>
    </xf>
    <xf numFmtId="167" fontId="18" fillId="0" borderId="0" xfId="0" applyNumberFormat="1" applyFont="1" applyAlignment="1">
      <alignment horizontal="left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179" fontId="18" fillId="0" borderId="0" xfId="3" applyNumberFormat="1" applyFont="1" applyAlignment="1">
      <alignment horizontal="left"/>
    </xf>
    <xf numFmtId="165" fontId="18" fillId="0" borderId="0" xfId="0" applyNumberFormat="1" applyFont="1" applyAlignment="1">
      <alignment horizontal="right"/>
    </xf>
    <xf numFmtId="166" fontId="18" fillId="0" borderId="0" xfId="0" applyNumberFormat="1" applyFont="1" applyAlignment="1">
      <alignment horizontal="right"/>
    </xf>
    <xf numFmtId="168" fontId="18" fillId="0" borderId="0" xfId="0" applyNumberFormat="1" applyFont="1" applyAlignment="1">
      <alignment horizontal="right"/>
    </xf>
    <xf numFmtId="170" fontId="18" fillId="0" borderId="0" xfId="0" applyNumberFormat="1" applyFont="1" applyAlignment="1">
      <alignment horizontal="right"/>
    </xf>
    <xf numFmtId="169" fontId="20" fillId="0" borderId="0" xfId="0" applyNumberFormat="1" applyFont="1" applyBorder="1" applyAlignment="1">
      <alignment horizontal="center"/>
    </xf>
    <xf numFmtId="165" fontId="18" fillId="0" borderId="0" xfId="0" applyNumberFormat="1" applyFont="1"/>
    <xf numFmtId="166" fontId="18" fillId="0" borderId="0" xfId="0" applyNumberFormat="1" applyFont="1"/>
    <xf numFmtId="168" fontId="18" fillId="0" borderId="0" xfId="0" applyNumberFormat="1" applyFont="1"/>
    <xf numFmtId="170" fontId="18" fillId="0" borderId="0" xfId="0" applyNumberFormat="1" applyFont="1"/>
    <xf numFmtId="0" fontId="19" fillId="0" borderId="8" xfId="0" applyFont="1" applyBorder="1"/>
    <xf numFmtId="165" fontId="18" fillId="0" borderId="8" xfId="0" applyNumberFormat="1" applyFont="1" applyBorder="1" applyAlignment="1">
      <alignment horizontal="left"/>
    </xf>
    <xf numFmtId="166" fontId="18" fillId="0" borderId="8" xfId="0" applyNumberFormat="1" applyFont="1" applyBorder="1" applyAlignment="1">
      <alignment horizontal="left"/>
    </xf>
    <xf numFmtId="168" fontId="18" fillId="0" borderId="8" xfId="0" applyNumberFormat="1" applyFont="1" applyBorder="1" applyAlignment="1">
      <alignment horizontal="left"/>
    </xf>
    <xf numFmtId="170" fontId="18" fillId="0" borderId="8" xfId="0" applyNumberFormat="1" applyFont="1" applyBorder="1" applyAlignment="1">
      <alignment horizontal="left"/>
    </xf>
    <xf numFmtId="0" fontId="22" fillId="0" borderId="0" xfId="0" applyFont="1"/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</cellXfs>
  <cellStyles count="4">
    <cellStyle name="Comma" xfId="1" builtinId="3"/>
    <cellStyle name="Explanatory Text" xfId="2" builtinId="53"/>
    <cellStyle name="Normal" xfId="0" builtinId="0"/>
    <cellStyle name="Percent" xfId="3" builtinId="5"/>
  </cellStyles>
  <dxfs count="6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9A46"/>
      </font>
    </dxf>
    <dxf>
      <font>
        <color rgb="FFFF0000"/>
      </font>
    </dxf>
    <dxf>
      <font>
        <color rgb="FFFF0000"/>
      </font>
    </dxf>
    <dxf>
      <font>
        <color rgb="FF008000"/>
      </font>
    </dxf>
    <dxf>
      <font>
        <color rgb="FF008000"/>
      </font>
    </dxf>
    <dxf>
      <font>
        <color rgb="FFFF0000"/>
      </font>
    </dxf>
    <dxf>
      <font>
        <color rgb="FFFF0000"/>
      </font>
    </dxf>
    <dxf>
      <font>
        <b/>
        <i val="0"/>
        <color rgb="FF009A46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009A46"/>
      </font>
    </dxf>
    <dxf>
      <font>
        <color rgb="FFFF0000"/>
      </font>
    </dxf>
    <dxf>
      <font>
        <color rgb="FFFF0000"/>
      </font>
    </dxf>
    <dxf>
      <font>
        <color rgb="FF008000"/>
      </font>
    </dxf>
    <dxf>
      <font>
        <color rgb="FF008000"/>
      </font>
    </dxf>
    <dxf>
      <font>
        <color rgb="FFFF0000"/>
      </font>
    </dxf>
    <dxf>
      <font>
        <color rgb="FFFF0000"/>
      </font>
    </dxf>
    <dxf>
      <font>
        <b/>
        <i val="0"/>
        <color rgb="FF009A46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009A46"/>
      </font>
    </dxf>
    <dxf>
      <font>
        <color rgb="FFFF0000"/>
      </font>
    </dxf>
    <dxf>
      <font>
        <color rgb="FFFF0000"/>
      </font>
    </dxf>
    <dxf>
      <font>
        <color rgb="FF009A46"/>
      </font>
    </dxf>
    <dxf>
      <font>
        <color rgb="FFFF0000"/>
      </font>
    </dxf>
    <dxf>
      <font>
        <color rgb="FFFF0000"/>
      </font>
    </dxf>
    <dxf>
      <font>
        <color rgb="FF008000"/>
      </font>
    </dxf>
    <dxf>
      <font>
        <color rgb="FF008000"/>
      </font>
    </dxf>
    <dxf>
      <font>
        <color rgb="FFFF0000"/>
      </font>
    </dxf>
    <dxf>
      <font>
        <color rgb="FFFF0000"/>
      </font>
    </dxf>
    <dxf>
      <font>
        <b/>
        <i val="0"/>
        <color rgb="FF009A46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008000"/>
      </font>
    </dxf>
    <dxf>
      <font>
        <color rgb="FF008000"/>
      </font>
    </dxf>
    <dxf>
      <font>
        <color rgb="FFFF0000"/>
      </font>
    </dxf>
    <dxf>
      <font>
        <color rgb="FFFF0000"/>
      </font>
    </dxf>
    <dxf>
      <font>
        <b/>
        <i val="0"/>
        <color rgb="FF009A46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009A46"/>
      <color rgb="FF006699"/>
      <color rgb="FF008000"/>
      <color rgb="FF33CC33"/>
      <color rgb="FF006600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8</xdr:col>
      <xdr:colOff>0</xdr:colOff>
      <xdr:row>4</xdr:row>
      <xdr:rowOff>1</xdr:rowOff>
    </xdr:to>
    <xdr:cxnSp macro="">
      <xdr:nvCxnSpPr>
        <xdr:cNvPr id="6" name="Straight Arrow Connector 5"/>
        <xdr:cNvCxnSpPr/>
      </xdr:nvCxnSpPr>
      <xdr:spPr>
        <a:xfrm>
          <a:off x="3810000" y="762000"/>
          <a:ext cx="2581275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333373</xdr:colOff>
      <xdr:row>4</xdr:row>
      <xdr:rowOff>0</xdr:rowOff>
    </xdr:from>
    <xdr:to>
      <xdr:col>4</xdr:col>
      <xdr:colOff>333374</xdr:colOff>
      <xdr:row>8</xdr:row>
      <xdr:rowOff>0</xdr:rowOff>
    </xdr:to>
    <xdr:cxnSp macro="">
      <xdr:nvCxnSpPr>
        <xdr:cNvPr id="9" name="Straight Arrow Connector 8"/>
        <xdr:cNvCxnSpPr/>
      </xdr:nvCxnSpPr>
      <xdr:spPr>
        <a:xfrm flipH="1">
          <a:off x="4143373" y="762000"/>
          <a:ext cx="1" cy="7620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638175</xdr:colOff>
      <xdr:row>4</xdr:row>
      <xdr:rowOff>28575</xdr:rowOff>
    </xdr:from>
    <xdr:to>
      <xdr:col>30</xdr:col>
      <xdr:colOff>223630</xdr:colOff>
      <xdr:row>4</xdr:row>
      <xdr:rowOff>28575</xdr:rowOff>
    </xdr:to>
    <xdr:cxnSp macro="">
      <xdr:nvCxnSpPr>
        <xdr:cNvPr id="13" name="Straight Arrow Connector 12"/>
        <xdr:cNvCxnSpPr/>
      </xdr:nvCxnSpPr>
      <xdr:spPr>
        <a:xfrm>
          <a:off x="7761218" y="790575"/>
          <a:ext cx="11181108" cy="0"/>
        </a:xfrm>
        <a:prstGeom prst="straightConnector1">
          <a:avLst/>
        </a:prstGeom>
        <a:ln w="38100">
          <a:headEnd type="none"/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4927</xdr:colOff>
      <xdr:row>4</xdr:row>
      <xdr:rowOff>47625</xdr:rowOff>
    </xdr:from>
    <xdr:to>
      <xdr:col>30</xdr:col>
      <xdr:colOff>4927</xdr:colOff>
      <xdr:row>7</xdr:row>
      <xdr:rowOff>16565</xdr:rowOff>
    </xdr:to>
    <xdr:cxnSp macro="">
      <xdr:nvCxnSpPr>
        <xdr:cNvPr id="16" name="Straight Arrow Connector 15"/>
        <xdr:cNvCxnSpPr/>
      </xdr:nvCxnSpPr>
      <xdr:spPr>
        <a:xfrm>
          <a:off x="18723623" y="809625"/>
          <a:ext cx="0" cy="54044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681031</xdr:colOff>
      <xdr:row>4</xdr:row>
      <xdr:rowOff>29308</xdr:rowOff>
    </xdr:from>
    <xdr:to>
      <xdr:col>18</xdr:col>
      <xdr:colOff>681035</xdr:colOff>
      <xdr:row>17</xdr:row>
      <xdr:rowOff>65637</xdr:rowOff>
    </xdr:to>
    <xdr:cxnSp macro="">
      <xdr:nvCxnSpPr>
        <xdr:cNvPr id="18" name="Straight Arrow Connector 17"/>
        <xdr:cNvCxnSpPr/>
      </xdr:nvCxnSpPr>
      <xdr:spPr>
        <a:xfrm flipH="1">
          <a:off x="13473106" y="791308"/>
          <a:ext cx="4" cy="251282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</xdr:row>
      <xdr:rowOff>120194</xdr:rowOff>
    </xdr:from>
    <xdr:to>
      <xdr:col>10</xdr:col>
      <xdr:colOff>0</xdr:colOff>
      <xdr:row>6</xdr:row>
      <xdr:rowOff>95250</xdr:rowOff>
    </xdr:to>
    <xdr:sp macro="" textlink="">
      <xdr:nvSpPr>
        <xdr:cNvPr id="20" name="Rectangle 19"/>
        <xdr:cNvSpPr/>
      </xdr:nvSpPr>
      <xdr:spPr>
        <a:xfrm>
          <a:off x="6391275" y="501194"/>
          <a:ext cx="1257300" cy="73705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2000" b="1"/>
            <a:t>Boilers</a:t>
          </a:r>
          <a:endParaRPr lang="en-US" sz="1100" b="1"/>
        </a:p>
      </xdr:txBody>
    </xdr:sp>
    <xdr:clientData/>
  </xdr:twoCellAnchor>
  <xdr:twoCellAnchor>
    <xdr:from>
      <xdr:col>14</xdr:col>
      <xdr:colOff>0</xdr:colOff>
      <xdr:row>17</xdr:row>
      <xdr:rowOff>0</xdr:rowOff>
    </xdr:from>
    <xdr:to>
      <xdr:col>15</xdr:col>
      <xdr:colOff>0</xdr:colOff>
      <xdr:row>19</xdr:row>
      <xdr:rowOff>133350</xdr:rowOff>
    </xdr:to>
    <xdr:sp macro="" textlink="">
      <xdr:nvSpPr>
        <xdr:cNvPr id="23" name="Flowchart: Manual Operation 22"/>
        <xdr:cNvSpPr/>
      </xdr:nvSpPr>
      <xdr:spPr>
        <a:xfrm rot="5400000">
          <a:off x="10248900" y="3124200"/>
          <a:ext cx="514350" cy="742950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16519"/>
            <a:gd name="connsiteY0" fmla="*/ 0 h 10080"/>
            <a:gd name="connsiteX1" fmla="*/ 16519 w 16519"/>
            <a:gd name="connsiteY1" fmla="*/ 80 h 10080"/>
            <a:gd name="connsiteX2" fmla="*/ 14519 w 16519"/>
            <a:gd name="connsiteY2" fmla="*/ 10080 h 10080"/>
            <a:gd name="connsiteX3" fmla="*/ 8519 w 16519"/>
            <a:gd name="connsiteY3" fmla="*/ 10080 h 10080"/>
            <a:gd name="connsiteX4" fmla="*/ 0 w 16519"/>
            <a:gd name="connsiteY4" fmla="*/ 0 h 10080"/>
            <a:gd name="connsiteX0" fmla="*/ 0 w 20371"/>
            <a:gd name="connsiteY0" fmla="*/ 0 h 10080"/>
            <a:gd name="connsiteX1" fmla="*/ 20371 w 20371"/>
            <a:gd name="connsiteY1" fmla="*/ 0 h 10080"/>
            <a:gd name="connsiteX2" fmla="*/ 14519 w 20371"/>
            <a:gd name="connsiteY2" fmla="*/ 10080 h 10080"/>
            <a:gd name="connsiteX3" fmla="*/ 8519 w 20371"/>
            <a:gd name="connsiteY3" fmla="*/ 10080 h 10080"/>
            <a:gd name="connsiteX4" fmla="*/ 0 w 20371"/>
            <a:gd name="connsiteY4" fmla="*/ 0 h 10080"/>
            <a:gd name="connsiteX0" fmla="*/ 0 w 17408"/>
            <a:gd name="connsiteY0" fmla="*/ 159 h 10080"/>
            <a:gd name="connsiteX1" fmla="*/ 17408 w 17408"/>
            <a:gd name="connsiteY1" fmla="*/ 0 h 10080"/>
            <a:gd name="connsiteX2" fmla="*/ 11556 w 17408"/>
            <a:gd name="connsiteY2" fmla="*/ 10080 h 10080"/>
            <a:gd name="connsiteX3" fmla="*/ 5556 w 17408"/>
            <a:gd name="connsiteY3" fmla="*/ 10080 h 10080"/>
            <a:gd name="connsiteX4" fmla="*/ 0 w 17408"/>
            <a:gd name="connsiteY4" fmla="*/ 159 h 10080"/>
            <a:gd name="connsiteX0" fmla="*/ 0 w 17556"/>
            <a:gd name="connsiteY0" fmla="*/ 0 h 10080"/>
            <a:gd name="connsiteX1" fmla="*/ 17556 w 17556"/>
            <a:gd name="connsiteY1" fmla="*/ 0 h 10080"/>
            <a:gd name="connsiteX2" fmla="*/ 11704 w 17556"/>
            <a:gd name="connsiteY2" fmla="*/ 10080 h 10080"/>
            <a:gd name="connsiteX3" fmla="*/ 5704 w 17556"/>
            <a:gd name="connsiteY3" fmla="*/ 10080 h 10080"/>
            <a:gd name="connsiteX4" fmla="*/ 0 w 17556"/>
            <a:gd name="connsiteY4" fmla="*/ 0 h 100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7556" h="10080">
              <a:moveTo>
                <a:pt x="0" y="0"/>
              </a:moveTo>
              <a:lnTo>
                <a:pt x="17556" y="0"/>
              </a:lnTo>
              <a:lnTo>
                <a:pt x="11704" y="10080"/>
              </a:lnTo>
              <a:lnTo>
                <a:pt x="5704" y="10080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vert270" wrap="square" lIns="0" tIns="0" rIns="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indent="0" algn="ctr"/>
          <a:r>
            <a:rPr lang="en-U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             Turbine</a:t>
          </a:r>
          <a:endParaRPr lang="en-US" sz="1100" baseline="0">
            <a:solidFill>
              <a:schemeClr val="lt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0</xdr:colOff>
      <xdr:row>19</xdr:row>
      <xdr:rowOff>152400</xdr:rowOff>
    </xdr:from>
    <xdr:to>
      <xdr:col>20</xdr:col>
      <xdr:colOff>0</xdr:colOff>
      <xdr:row>28</xdr:row>
      <xdr:rowOff>152400</xdr:rowOff>
    </xdr:to>
    <xdr:cxnSp macro="">
      <xdr:nvCxnSpPr>
        <xdr:cNvPr id="25" name="Straight Arrow Connector 24"/>
        <xdr:cNvCxnSpPr/>
      </xdr:nvCxnSpPr>
      <xdr:spPr>
        <a:xfrm>
          <a:off x="14230350" y="3771900"/>
          <a:ext cx="0" cy="17145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676276</xdr:colOff>
      <xdr:row>94</xdr:row>
      <xdr:rowOff>171450</xdr:rowOff>
    </xdr:from>
    <xdr:to>
      <xdr:col>21</xdr:col>
      <xdr:colOff>666750</xdr:colOff>
      <xdr:row>99</xdr:row>
      <xdr:rowOff>95251</xdr:rowOff>
    </xdr:to>
    <xdr:grpSp>
      <xdr:nvGrpSpPr>
        <xdr:cNvPr id="8" name="Group 7"/>
        <xdr:cNvGrpSpPr/>
      </xdr:nvGrpSpPr>
      <xdr:grpSpPr>
        <a:xfrm>
          <a:off x="13468351" y="18078450"/>
          <a:ext cx="2038349" cy="876301"/>
          <a:chOff x="12179527" y="3062273"/>
          <a:chExt cx="1636340" cy="1128735"/>
        </a:xfrm>
      </xdr:grpSpPr>
      <xdr:sp macro="" textlink="">
        <xdr:nvSpPr>
          <xdr:cNvPr id="17" name="Rectangle 16"/>
          <xdr:cNvSpPr/>
        </xdr:nvSpPr>
        <xdr:spPr>
          <a:xfrm>
            <a:off x="13230225" y="3543300"/>
            <a:ext cx="457200" cy="171450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rot="0" spcFirstLastPara="0" vertOverflow="clip" horzOverflow="clip" vert="vert270" wrap="square" lIns="0" tIns="0" rIns="0" bIns="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endParaRPr lang="en-U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5" name="Flowchart: Manual Operation 22"/>
          <xdr:cNvSpPr/>
        </xdr:nvSpPr>
        <xdr:spPr>
          <a:xfrm rot="5400000">
            <a:off x="12165791" y="3076009"/>
            <a:ext cx="1128735" cy="1101263"/>
          </a:xfrm>
          <a:custGeom>
            <a:avLst/>
            <a:gdLst>
              <a:gd name="connsiteX0" fmla="*/ 0 w 10000"/>
              <a:gd name="connsiteY0" fmla="*/ 0 h 10000"/>
              <a:gd name="connsiteX1" fmla="*/ 10000 w 10000"/>
              <a:gd name="connsiteY1" fmla="*/ 0 h 10000"/>
              <a:gd name="connsiteX2" fmla="*/ 8000 w 10000"/>
              <a:gd name="connsiteY2" fmla="*/ 10000 h 10000"/>
              <a:gd name="connsiteX3" fmla="*/ 2000 w 10000"/>
              <a:gd name="connsiteY3" fmla="*/ 10000 h 10000"/>
              <a:gd name="connsiteX4" fmla="*/ 0 w 10000"/>
              <a:gd name="connsiteY4" fmla="*/ 0 h 10000"/>
              <a:gd name="connsiteX0" fmla="*/ 0 w 16519"/>
              <a:gd name="connsiteY0" fmla="*/ 0 h 10080"/>
              <a:gd name="connsiteX1" fmla="*/ 16519 w 16519"/>
              <a:gd name="connsiteY1" fmla="*/ 80 h 10080"/>
              <a:gd name="connsiteX2" fmla="*/ 14519 w 16519"/>
              <a:gd name="connsiteY2" fmla="*/ 10080 h 10080"/>
              <a:gd name="connsiteX3" fmla="*/ 8519 w 16519"/>
              <a:gd name="connsiteY3" fmla="*/ 10080 h 10080"/>
              <a:gd name="connsiteX4" fmla="*/ 0 w 16519"/>
              <a:gd name="connsiteY4" fmla="*/ 0 h 10080"/>
              <a:gd name="connsiteX0" fmla="*/ 0 w 20371"/>
              <a:gd name="connsiteY0" fmla="*/ 0 h 10080"/>
              <a:gd name="connsiteX1" fmla="*/ 20371 w 20371"/>
              <a:gd name="connsiteY1" fmla="*/ 0 h 10080"/>
              <a:gd name="connsiteX2" fmla="*/ 14519 w 20371"/>
              <a:gd name="connsiteY2" fmla="*/ 10080 h 10080"/>
              <a:gd name="connsiteX3" fmla="*/ 8519 w 20371"/>
              <a:gd name="connsiteY3" fmla="*/ 10080 h 10080"/>
              <a:gd name="connsiteX4" fmla="*/ 0 w 20371"/>
              <a:gd name="connsiteY4" fmla="*/ 0 h 10080"/>
              <a:gd name="connsiteX0" fmla="*/ 0 w 17408"/>
              <a:gd name="connsiteY0" fmla="*/ 159 h 10080"/>
              <a:gd name="connsiteX1" fmla="*/ 17408 w 17408"/>
              <a:gd name="connsiteY1" fmla="*/ 0 h 10080"/>
              <a:gd name="connsiteX2" fmla="*/ 11556 w 17408"/>
              <a:gd name="connsiteY2" fmla="*/ 10080 h 10080"/>
              <a:gd name="connsiteX3" fmla="*/ 5556 w 17408"/>
              <a:gd name="connsiteY3" fmla="*/ 10080 h 10080"/>
              <a:gd name="connsiteX4" fmla="*/ 0 w 17408"/>
              <a:gd name="connsiteY4" fmla="*/ 159 h 10080"/>
              <a:gd name="connsiteX0" fmla="*/ 0 w 17556"/>
              <a:gd name="connsiteY0" fmla="*/ 0 h 10080"/>
              <a:gd name="connsiteX1" fmla="*/ 17556 w 17556"/>
              <a:gd name="connsiteY1" fmla="*/ 0 h 10080"/>
              <a:gd name="connsiteX2" fmla="*/ 11704 w 17556"/>
              <a:gd name="connsiteY2" fmla="*/ 10080 h 10080"/>
              <a:gd name="connsiteX3" fmla="*/ 5704 w 17556"/>
              <a:gd name="connsiteY3" fmla="*/ 10080 h 10080"/>
              <a:gd name="connsiteX4" fmla="*/ 0 w 17556"/>
              <a:gd name="connsiteY4" fmla="*/ 0 h 100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556" h="10080">
                <a:moveTo>
                  <a:pt x="0" y="0"/>
                </a:moveTo>
                <a:lnTo>
                  <a:pt x="17556" y="0"/>
                </a:lnTo>
                <a:lnTo>
                  <a:pt x="11704" y="10080"/>
                </a:lnTo>
                <a:lnTo>
                  <a:pt x="5704" y="10080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rot="0" spcFirstLastPara="0" vertOverflow="clip" horzOverflow="clip" vert="vert270" wrap="square" lIns="0" tIns="0" rIns="0" bIns="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110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        BP-STG</a:t>
            </a:r>
          </a:p>
        </xdr:txBody>
      </xdr:sp>
      <xdr:sp macro="" textlink="">
        <xdr:nvSpPr>
          <xdr:cNvPr id="7" name="Rectangle 6"/>
          <xdr:cNvSpPr/>
        </xdr:nvSpPr>
        <xdr:spPr>
          <a:xfrm>
            <a:off x="13563600" y="3097309"/>
            <a:ext cx="252267" cy="998440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rot="0" spcFirstLastPara="0" vertOverflow="clip" horzOverflow="clip" vert="vert270" wrap="square" lIns="0" tIns="0" rIns="0" bIns="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endParaRPr lang="en-U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25</xdr:col>
      <xdr:colOff>1471</xdr:colOff>
      <xdr:row>4</xdr:row>
      <xdr:rowOff>47625</xdr:rowOff>
    </xdr:from>
    <xdr:to>
      <xdr:col>25</xdr:col>
      <xdr:colOff>1472</xdr:colOff>
      <xdr:row>17</xdr:row>
      <xdr:rowOff>65496</xdr:rowOff>
    </xdr:to>
    <xdr:cxnSp macro="">
      <xdr:nvCxnSpPr>
        <xdr:cNvPr id="47" name="Straight Arrow Connector 46"/>
        <xdr:cNvCxnSpPr/>
      </xdr:nvCxnSpPr>
      <xdr:spPr>
        <a:xfrm flipH="1">
          <a:off x="17336971" y="809625"/>
          <a:ext cx="1" cy="249437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4</xdr:row>
      <xdr:rowOff>38100</xdr:rowOff>
    </xdr:from>
    <xdr:to>
      <xdr:col>14</xdr:col>
      <xdr:colOff>9525</xdr:colOff>
      <xdr:row>17</xdr:row>
      <xdr:rowOff>167114</xdr:rowOff>
    </xdr:to>
    <xdr:cxnSp macro="">
      <xdr:nvCxnSpPr>
        <xdr:cNvPr id="49" name="Straight Arrow Connector 48"/>
        <xdr:cNvCxnSpPr>
          <a:endCxn id="23" idx="3"/>
        </xdr:cNvCxnSpPr>
      </xdr:nvCxnSpPr>
      <xdr:spPr>
        <a:xfrm flipH="1">
          <a:off x="10182225" y="800100"/>
          <a:ext cx="9525" cy="260551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589275</xdr:colOff>
      <xdr:row>29</xdr:row>
      <xdr:rowOff>47625</xdr:rowOff>
    </xdr:from>
    <xdr:to>
      <xdr:col>20</xdr:col>
      <xdr:colOff>589275</xdr:colOff>
      <xdr:row>37</xdr:row>
      <xdr:rowOff>142875</xdr:rowOff>
    </xdr:to>
    <xdr:cxnSp macro="">
      <xdr:nvCxnSpPr>
        <xdr:cNvPr id="52" name="Straight Arrow Connector 51"/>
        <xdr:cNvCxnSpPr/>
      </xdr:nvCxnSpPr>
      <xdr:spPr>
        <a:xfrm>
          <a:off x="14830792" y="5572125"/>
          <a:ext cx="0" cy="16192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523875</xdr:colOff>
      <xdr:row>17</xdr:row>
      <xdr:rowOff>114300</xdr:rowOff>
    </xdr:from>
    <xdr:to>
      <xdr:col>17</xdr:col>
      <xdr:colOff>66637</xdr:colOff>
      <xdr:row>19</xdr:row>
      <xdr:rowOff>19050</xdr:rowOff>
    </xdr:to>
    <xdr:sp macro="" textlink="">
      <xdr:nvSpPr>
        <xdr:cNvPr id="63" name="Flowchart: Collate 62"/>
        <xdr:cNvSpPr/>
      </xdr:nvSpPr>
      <xdr:spPr>
        <a:xfrm>
          <a:off x="12096750" y="3352800"/>
          <a:ext cx="152362" cy="285750"/>
        </a:xfrm>
        <a:prstGeom prst="flowChartCollate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591944</xdr:colOff>
      <xdr:row>19</xdr:row>
      <xdr:rowOff>85725</xdr:rowOff>
    </xdr:from>
    <xdr:to>
      <xdr:col>16</xdr:col>
      <xdr:colOff>608902</xdr:colOff>
      <xdr:row>37</xdr:row>
      <xdr:rowOff>152400</xdr:rowOff>
    </xdr:to>
    <xdr:cxnSp macro="">
      <xdr:nvCxnSpPr>
        <xdr:cNvPr id="72" name="Straight Arrow Connector 71"/>
        <xdr:cNvCxnSpPr/>
      </xdr:nvCxnSpPr>
      <xdr:spPr>
        <a:xfrm flipH="1">
          <a:off x="12441044" y="3705225"/>
          <a:ext cx="16958" cy="34956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37</xdr:row>
      <xdr:rowOff>151714</xdr:rowOff>
    </xdr:from>
    <xdr:to>
      <xdr:col>30</xdr:col>
      <xdr:colOff>619125</xdr:colOff>
      <xdr:row>37</xdr:row>
      <xdr:rowOff>151714</xdr:rowOff>
    </xdr:to>
    <xdr:cxnSp macro="">
      <xdr:nvCxnSpPr>
        <xdr:cNvPr id="89" name="Straight Arrow Connector 88"/>
        <xdr:cNvCxnSpPr/>
      </xdr:nvCxnSpPr>
      <xdr:spPr>
        <a:xfrm>
          <a:off x="9858375" y="7200214"/>
          <a:ext cx="11344275" cy="0"/>
        </a:xfrm>
        <a:prstGeom prst="straightConnector1">
          <a:avLst/>
        </a:prstGeom>
        <a:ln w="38100"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108196</xdr:rowOff>
    </xdr:from>
    <xdr:to>
      <xdr:col>15</xdr:col>
      <xdr:colOff>0</xdr:colOff>
      <xdr:row>37</xdr:row>
      <xdr:rowOff>142875</xdr:rowOff>
    </xdr:to>
    <xdr:cxnSp macro="">
      <xdr:nvCxnSpPr>
        <xdr:cNvPr id="90" name="Straight Arrow Connector 89"/>
        <xdr:cNvCxnSpPr/>
      </xdr:nvCxnSpPr>
      <xdr:spPr>
        <a:xfrm>
          <a:off x="11153775" y="3727696"/>
          <a:ext cx="0" cy="346367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28575</xdr:colOff>
      <xdr:row>19</xdr:row>
      <xdr:rowOff>81096</xdr:rowOff>
    </xdr:from>
    <xdr:to>
      <xdr:col>26</xdr:col>
      <xdr:colOff>28575</xdr:colOff>
      <xdr:row>28</xdr:row>
      <xdr:rowOff>142875</xdr:rowOff>
    </xdr:to>
    <xdr:cxnSp macro="">
      <xdr:nvCxnSpPr>
        <xdr:cNvPr id="94" name="Straight Arrow Connector 93"/>
        <xdr:cNvCxnSpPr/>
      </xdr:nvCxnSpPr>
      <xdr:spPr>
        <a:xfrm>
          <a:off x="18021300" y="3700596"/>
          <a:ext cx="0" cy="177627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28</xdr:row>
      <xdr:rowOff>161930</xdr:rowOff>
    </xdr:from>
    <xdr:to>
      <xdr:col>30</xdr:col>
      <xdr:colOff>590550</xdr:colOff>
      <xdr:row>28</xdr:row>
      <xdr:rowOff>161930</xdr:rowOff>
    </xdr:to>
    <xdr:cxnSp macro="">
      <xdr:nvCxnSpPr>
        <xdr:cNvPr id="96" name="Straight Arrow Connector 95"/>
        <xdr:cNvCxnSpPr/>
      </xdr:nvCxnSpPr>
      <xdr:spPr>
        <a:xfrm>
          <a:off x="13963650" y="5495930"/>
          <a:ext cx="5314950" cy="0"/>
        </a:xfrm>
        <a:prstGeom prst="straightConnector1">
          <a:avLst/>
        </a:prstGeom>
        <a:ln w="28575"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428626</xdr:colOff>
      <xdr:row>60</xdr:row>
      <xdr:rowOff>57150</xdr:rowOff>
    </xdr:from>
    <xdr:to>
      <xdr:col>20</xdr:col>
      <xdr:colOff>361950</xdr:colOff>
      <xdr:row>63</xdr:row>
      <xdr:rowOff>142874</xdr:rowOff>
    </xdr:to>
    <xdr:sp macro="" textlink="">
      <xdr:nvSpPr>
        <xdr:cNvPr id="17449" name="Flowchart: Terminator 17448"/>
        <xdr:cNvSpPr/>
      </xdr:nvSpPr>
      <xdr:spPr>
        <a:xfrm>
          <a:off x="12944476" y="11487150"/>
          <a:ext cx="2114549" cy="657224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Deaerator</a:t>
          </a:r>
        </a:p>
      </xdr:txBody>
    </xdr:sp>
    <xdr:clientData/>
  </xdr:twoCellAnchor>
  <xdr:twoCellAnchor>
    <xdr:from>
      <xdr:col>23</xdr:col>
      <xdr:colOff>585787</xdr:colOff>
      <xdr:row>37</xdr:row>
      <xdr:rowOff>161925</xdr:rowOff>
    </xdr:from>
    <xdr:to>
      <xdr:col>23</xdr:col>
      <xdr:colOff>585787</xdr:colOff>
      <xdr:row>45</xdr:row>
      <xdr:rowOff>123825</xdr:rowOff>
    </xdr:to>
    <xdr:cxnSp macro="">
      <xdr:nvCxnSpPr>
        <xdr:cNvPr id="112" name="Straight Arrow Connector 111"/>
        <xdr:cNvCxnSpPr/>
      </xdr:nvCxnSpPr>
      <xdr:spPr>
        <a:xfrm>
          <a:off x="16635412" y="7210425"/>
          <a:ext cx="0" cy="1485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247650</xdr:colOff>
      <xdr:row>45</xdr:row>
      <xdr:rowOff>123824</xdr:rowOff>
    </xdr:from>
    <xdr:to>
      <xdr:col>30</xdr:col>
      <xdr:colOff>666750</xdr:colOff>
      <xdr:row>45</xdr:row>
      <xdr:rowOff>123824</xdr:rowOff>
    </xdr:to>
    <xdr:cxnSp macro="">
      <xdr:nvCxnSpPr>
        <xdr:cNvPr id="116" name="Straight Arrow Connector 115"/>
        <xdr:cNvCxnSpPr/>
      </xdr:nvCxnSpPr>
      <xdr:spPr>
        <a:xfrm>
          <a:off x="17630775" y="8696324"/>
          <a:ext cx="36195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590550</xdr:colOff>
      <xdr:row>20</xdr:row>
      <xdr:rowOff>104775</xdr:rowOff>
    </xdr:from>
    <xdr:to>
      <xdr:col>26</xdr:col>
      <xdr:colOff>649151</xdr:colOff>
      <xdr:row>37</xdr:row>
      <xdr:rowOff>66675</xdr:rowOff>
    </xdr:to>
    <xdr:grpSp>
      <xdr:nvGrpSpPr>
        <xdr:cNvPr id="17463" name="Group 17462"/>
        <xdr:cNvGrpSpPr/>
      </xdr:nvGrpSpPr>
      <xdr:grpSpPr>
        <a:xfrm>
          <a:off x="14820900" y="3914775"/>
          <a:ext cx="3954326" cy="3200400"/>
          <a:chOff x="13420725" y="3905250"/>
          <a:chExt cx="3954326" cy="3200400"/>
        </a:xfrm>
      </xdr:grpSpPr>
      <xdr:cxnSp macro="">
        <xdr:nvCxnSpPr>
          <xdr:cNvPr id="48" name="Straight Arrow Connector 47"/>
          <xdr:cNvCxnSpPr/>
        </xdr:nvCxnSpPr>
        <xdr:spPr>
          <a:xfrm>
            <a:off x="17373600" y="3905250"/>
            <a:ext cx="1" cy="1524000"/>
          </a:xfrm>
          <a:prstGeom prst="straightConnector1">
            <a:avLst/>
          </a:prstGeom>
          <a:ln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" name="Straight Arrow Connector 125"/>
          <xdr:cNvCxnSpPr/>
        </xdr:nvCxnSpPr>
        <xdr:spPr>
          <a:xfrm>
            <a:off x="17375051" y="5543550"/>
            <a:ext cx="0" cy="1562100"/>
          </a:xfrm>
          <a:prstGeom prst="straightConnector1">
            <a:avLst/>
          </a:prstGeom>
          <a:ln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8" name="Straight Arrow Connector 327"/>
          <xdr:cNvCxnSpPr/>
        </xdr:nvCxnSpPr>
        <xdr:spPr>
          <a:xfrm>
            <a:off x="13420725" y="3905250"/>
            <a:ext cx="1" cy="1524000"/>
          </a:xfrm>
          <a:prstGeom prst="straightConnector1">
            <a:avLst/>
          </a:prstGeom>
          <a:ln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26</xdr:col>
      <xdr:colOff>654280</xdr:colOff>
      <xdr:row>51</xdr:row>
      <xdr:rowOff>98181</xdr:rowOff>
    </xdr:from>
    <xdr:to>
      <xdr:col>26</xdr:col>
      <xdr:colOff>668951</xdr:colOff>
      <xdr:row>61</xdr:row>
      <xdr:rowOff>12456</xdr:rowOff>
    </xdr:to>
    <xdr:cxnSp macro="">
      <xdr:nvCxnSpPr>
        <xdr:cNvPr id="133" name="Straight Arrow Connector 132"/>
        <xdr:cNvCxnSpPr>
          <a:stCxn id="17448" idx="4"/>
        </xdr:cNvCxnSpPr>
      </xdr:nvCxnSpPr>
      <xdr:spPr>
        <a:xfrm>
          <a:off x="18773761" y="9813681"/>
          <a:ext cx="14671" cy="18192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314325</xdr:colOff>
      <xdr:row>60</xdr:row>
      <xdr:rowOff>188821</xdr:rowOff>
    </xdr:from>
    <xdr:to>
      <xdr:col>26</xdr:col>
      <xdr:colOff>647700</xdr:colOff>
      <xdr:row>60</xdr:row>
      <xdr:rowOff>188821</xdr:rowOff>
    </xdr:to>
    <xdr:cxnSp macro="">
      <xdr:nvCxnSpPr>
        <xdr:cNvPr id="136" name="Straight Arrow Connector 135"/>
        <xdr:cNvCxnSpPr/>
      </xdr:nvCxnSpPr>
      <xdr:spPr>
        <a:xfrm flipH="1">
          <a:off x="14544675" y="11618821"/>
          <a:ext cx="40957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</xdr:colOff>
      <xdr:row>37</xdr:row>
      <xdr:rowOff>152400</xdr:rowOff>
    </xdr:from>
    <xdr:to>
      <xdr:col>19</xdr:col>
      <xdr:colOff>14287</xdr:colOff>
      <xdr:row>60</xdr:row>
      <xdr:rowOff>47625</xdr:rowOff>
    </xdr:to>
    <xdr:cxnSp macro="">
      <xdr:nvCxnSpPr>
        <xdr:cNvPr id="139" name="Straight Arrow Connector 138"/>
        <xdr:cNvCxnSpPr/>
      </xdr:nvCxnSpPr>
      <xdr:spPr>
        <a:xfrm>
          <a:off x="13968412" y="7200900"/>
          <a:ext cx="0" cy="42767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152403</xdr:colOff>
      <xdr:row>63</xdr:row>
      <xdr:rowOff>0</xdr:rowOff>
    </xdr:from>
    <xdr:to>
      <xdr:col>17</xdr:col>
      <xdr:colOff>514350</xdr:colOff>
      <xdr:row>63</xdr:row>
      <xdr:rowOff>0</xdr:rowOff>
    </xdr:to>
    <xdr:cxnSp macro="">
      <xdr:nvCxnSpPr>
        <xdr:cNvPr id="156" name="Straight Arrow Connector 155"/>
        <xdr:cNvCxnSpPr/>
      </xdr:nvCxnSpPr>
      <xdr:spPr>
        <a:xfrm flipH="1">
          <a:off x="9925053" y="12001500"/>
          <a:ext cx="310514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647700</xdr:colOff>
      <xdr:row>63</xdr:row>
      <xdr:rowOff>2</xdr:rowOff>
    </xdr:from>
    <xdr:to>
      <xdr:col>12</xdr:col>
      <xdr:colOff>447678</xdr:colOff>
      <xdr:row>63</xdr:row>
      <xdr:rowOff>3</xdr:rowOff>
    </xdr:to>
    <xdr:cxnSp macro="">
      <xdr:nvCxnSpPr>
        <xdr:cNvPr id="157" name="Straight Arrow Connector 156"/>
        <xdr:cNvCxnSpPr/>
      </xdr:nvCxnSpPr>
      <xdr:spPr>
        <a:xfrm flipH="1" flipV="1">
          <a:off x="5676900" y="12001502"/>
          <a:ext cx="3848103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666750</xdr:colOff>
      <xdr:row>5</xdr:row>
      <xdr:rowOff>19051</xdr:rowOff>
    </xdr:from>
    <xdr:to>
      <xdr:col>8</xdr:col>
      <xdr:colOff>0</xdr:colOff>
      <xdr:row>5</xdr:row>
      <xdr:rowOff>19051</xdr:rowOff>
    </xdr:to>
    <xdr:cxnSp macro="">
      <xdr:nvCxnSpPr>
        <xdr:cNvPr id="158" name="Straight Arrow Connector 157"/>
        <xdr:cNvCxnSpPr/>
      </xdr:nvCxnSpPr>
      <xdr:spPr>
        <a:xfrm>
          <a:off x="5695950" y="971551"/>
          <a:ext cx="695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666750</xdr:colOff>
      <xdr:row>5</xdr:row>
      <xdr:rowOff>9527</xdr:rowOff>
    </xdr:from>
    <xdr:to>
      <xdr:col>6</xdr:col>
      <xdr:colOff>666750</xdr:colOff>
      <xdr:row>44</xdr:row>
      <xdr:rowOff>142875</xdr:rowOff>
    </xdr:to>
    <xdr:cxnSp macro="">
      <xdr:nvCxnSpPr>
        <xdr:cNvPr id="162" name="Straight Arrow Connector 161"/>
        <xdr:cNvCxnSpPr>
          <a:stCxn id="88" idx="0"/>
        </xdr:cNvCxnSpPr>
      </xdr:nvCxnSpPr>
      <xdr:spPr>
        <a:xfrm flipV="1">
          <a:off x="5695950" y="962027"/>
          <a:ext cx="0" cy="756284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44</xdr:row>
      <xdr:rowOff>142875</xdr:rowOff>
    </xdr:from>
    <xdr:to>
      <xdr:col>7</xdr:col>
      <xdr:colOff>114300</xdr:colOff>
      <xdr:row>49</xdr:row>
      <xdr:rowOff>104775</xdr:rowOff>
    </xdr:to>
    <xdr:sp macro="" textlink="">
      <xdr:nvSpPr>
        <xdr:cNvPr id="88" name="Rounded Rectangle 87"/>
        <xdr:cNvSpPr/>
      </xdr:nvSpPr>
      <xdr:spPr>
        <a:xfrm>
          <a:off x="5572125" y="8524875"/>
          <a:ext cx="247650" cy="914400"/>
        </a:xfrm>
        <a:prstGeom prst="roundRect">
          <a:avLst/>
        </a:prstGeom>
      </xdr:spPr>
      <xdr:style>
        <a:lnRef idx="2">
          <a:schemeClr val="accent3"/>
        </a:lnRef>
        <a:fillRef idx="1002">
          <a:schemeClr val="dk2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vert270" wrap="square" lIns="0" tIns="0" rIns="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>
              <a:solidFill>
                <a:schemeClr val="bg1">
                  <a:lumMod val="100000"/>
                </a:schemeClr>
              </a:solidFill>
              <a:latin typeface="+mn-lt"/>
              <a:ea typeface="+mn-ea"/>
              <a:cs typeface="+mn-cs"/>
            </a:rPr>
            <a:t>HP Heater</a:t>
          </a:r>
        </a:p>
      </xdr:txBody>
    </xdr:sp>
    <xdr:clientData/>
  </xdr:twoCellAnchor>
  <xdr:twoCellAnchor>
    <xdr:from>
      <xdr:col>6</xdr:col>
      <xdr:colOff>666750</xdr:colOff>
      <xdr:row>49</xdr:row>
      <xdr:rowOff>104775</xdr:rowOff>
    </xdr:from>
    <xdr:to>
      <xdr:col>6</xdr:col>
      <xdr:colOff>666750</xdr:colOff>
      <xdr:row>63</xdr:row>
      <xdr:rowOff>9525</xdr:rowOff>
    </xdr:to>
    <xdr:cxnSp macro="">
      <xdr:nvCxnSpPr>
        <xdr:cNvPr id="172" name="Straight Arrow Connector 171"/>
        <xdr:cNvCxnSpPr>
          <a:endCxn id="88" idx="2"/>
        </xdr:cNvCxnSpPr>
      </xdr:nvCxnSpPr>
      <xdr:spPr>
        <a:xfrm flipV="1">
          <a:off x="5695950" y="9439275"/>
          <a:ext cx="0" cy="25717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563426</xdr:colOff>
      <xdr:row>38</xdr:row>
      <xdr:rowOff>57150</xdr:rowOff>
    </xdr:from>
    <xdr:to>
      <xdr:col>21</xdr:col>
      <xdr:colOff>563426</xdr:colOff>
      <xdr:row>45</xdr:row>
      <xdr:rowOff>123825</xdr:rowOff>
    </xdr:to>
    <xdr:cxnSp macro="">
      <xdr:nvCxnSpPr>
        <xdr:cNvPr id="177" name="Straight Arrow Connector 176"/>
        <xdr:cNvCxnSpPr/>
      </xdr:nvCxnSpPr>
      <xdr:spPr>
        <a:xfrm>
          <a:off x="15403376" y="7296150"/>
          <a:ext cx="0" cy="14001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123826</xdr:colOff>
      <xdr:row>45</xdr:row>
      <xdr:rowOff>114302</xdr:rowOff>
    </xdr:from>
    <xdr:to>
      <xdr:col>18</xdr:col>
      <xdr:colOff>619125</xdr:colOff>
      <xdr:row>45</xdr:row>
      <xdr:rowOff>114302</xdr:rowOff>
    </xdr:to>
    <xdr:cxnSp macro="">
      <xdr:nvCxnSpPr>
        <xdr:cNvPr id="181" name="Straight Arrow Connector 180"/>
        <xdr:cNvCxnSpPr/>
      </xdr:nvCxnSpPr>
      <xdr:spPr>
        <a:xfrm flipH="1">
          <a:off x="5829301" y="8686802"/>
          <a:ext cx="804862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152400</xdr:colOff>
      <xdr:row>48</xdr:row>
      <xdr:rowOff>180975</xdr:rowOff>
    </xdr:from>
    <xdr:to>
      <xdr:col>18</xdr:col>
      <xdr:colOff>361950</xdr:colOff>
      <xdr:row>48</xdr:row>
      <xdr:rowOff>180975</xdr:rowOff>
    </xdr:to>
    <xdr:cxnSp macro="">
      <xdr:nvCxnSpPr>
        <xdr:cNvPr id="183" name="Straight Arrow Connector 182"/>
        <xdr:cNvCxnSpPr/>
      </xdr:nvCxnSpPr>
      <xdr:spPr>
        <a:xfrm>
          <a:off x="5857875" y="9324975"/>
          <a:ext cx="77628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376237</xdr:colOff>
      <xdr:row>48</xdr:row>
      <xdr:rowOff>180975</xdr:rowOff>
    </xdr:from>
    <xdr:to>
      <xdr:col>18</xdr:col>
      <xdr:colOff>376237</xdr:colOff>
      <xdr:row>60</xdr:row>
      <xdr:rowOff>47625</xdr:rowOff>
    </xdr:to>
    <xdr:cxnSp macro="">
      <xdr:nvCxnSpPr>
        <xdr:cNvPr id="187" name="Straight Arrow Connector 186"/>
        <xdr:cNvCxnSpPr/>
      </xdr:nvCxnSpPr>
      <xdr:spPr>
        <a:xfrm>
          <a:off x="13635037" y="9324975"/>
          <a:ext cx="0" cy="21526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5</xdr:row>
      <xdr:rowOff>19050</xdr:rowOff>
    </xdr:from>
    <xdr:to>
      <xdr:col>11</xdr:col>
      <xdr:colOff>9525</xdr:colOff>
      <xdr:row>5</xdr:row>
      <xdr:rowOff>19051</xdr:rowOff>
    </xdr:to>
    <xdr:cxnSp macro="">
      <xdr:nvCxnSpPr>
        <xdr:cNvPr id="202" name="Straight Arrow Connector 201"/>
        <xdr:cNvCxnSpPr/>
      </xdr:nvCxnSpPr>
      <xdr:spPr>
        <a:xfrm flipV="1">
          <a:off x="7686675" y="971550"/>
          <a:ext cx="619125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49</xdr:row>
      <xdr:rowOff>38100</xdr:rowOff>
    </xdr:from>
    <xdr:to>
      <xdr:col>12</xdr:col>
      <xdr:colOff>9525</xdr:colOff>
      <xdr:row>58</xdr:row>
      <xdr:rowOff>114300</xdr:rowOff>
    </xdr:to>
    <xdr:cxnSp macro="">
      <xdr:nvCxnSpPr>
        <xdr:cNvPr id="203" name="Straight Arrow Connector 202"/>
        <xdr:cNvCxnSpPr/>
      </xdr:nvCxnSpPr>
      <xdr:spPr>
        <a:xfrm>
          <a:off x="8477250" y="9372600"/>
          <a:ext cx="0" cy="17907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595477</xdr:colOff>
      <xdr:row>4</xdr:row>
      <xdr:rowOff>47625</xdr:rowOff>
    </xdr:from>
    <xdr:to>
      <xdr:col>16</xdr:col>
      <xdr:colOff>600056</xdr:colOff>
      <xdr:row>17</xdr:row>
      <xdr:rowOff>114300</xdr:rowOff>
    </xdr:to>
    <xdr:cxnSp macro="">
      <xdr:nvCxnSpPr>
        <xdr:cNvPr id="74" name="Straight Arrow Connector 73"/>
        <xdr:cNvCxnSpPr>
          <a:endCxn id="63" idx="0"/>
        </xdr:cNvCxnSpPr>
      </xdr:nvCxnSpPr>
      <xdr:spPr>
        <a:xfrm>
          <a:off x="12215977" y="809625"/>
          <a:ext cx="4579" cy="25431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595477</xdr:colOff>
      <xdr:row>36</xdr:row>
      <xdr:rowOff>57150</xdr:rowOff>
    </xdr:from>
    <xdr:to>
      <xdr:col>30</xdr:col>
      <xdr:colOff>595477</xdr:colOff>
      <xdr:row>37</xdr:row>
      <xdr:rowOff>153133</xdr:rowOff>
    </xdr:to>
    <xdr:cxnSp macro="">
      <xdr:nvCxnSpPr>
        <xdr:cNvPr id="104" name="Straight Arrow Connector 103"/>
        <xdr:cNvCxnSpPr/>
      </xdr:nvCxnSpPr>
      <xdr:spPr>
        <a:xfrm flipV="1">
          <a:off x="19283527" y="6915150"/>
          <a:ext cx="0" cy="28648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595477</xdr:colOff>
      <xdr:row>27</xdr:row>
      <xdr:rowOff>47626</xdr:rowOff>
    </xdr:from>
    <xdr:to>
      <xdr:col>30</xdr:col>
      <xdr:colOff>595477</xdr:colOff>
      <xdr:row>28</xdr:row>
      <xdr:rowOff>171450</xdr:rowOff>
    </xdr:to>
    <xdr:cxnSp macro="">
      <xdr:nvCxnSpPr>
        <xdr:cNvPr id="113" name="Straight Arrow Connector 112"/>
        <xdr:cNvCxnSpPr/>
      </xdr:nvCxnSpPr>
      <xdr:spPr>
        <a:xfrm flipV="1">
          <a:off x="19283527" y="5191126"/>
          <a:ext cx="0" cy="3143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733425</xdr:colOff>
      <xdr:row>58</xdr:row>
      <xdr:rowOff>85725</xdr:rowOff>
    </xdr:from>
    <xdr:to>
      <xdr:col>26</xdr:col>
      <xdr:colOff>581025</xdr:colOff>
      <xdr:row>58</xdr:row>
      <xdr:rowOff>85725</xdr:rowOff>
    </xdr:to>
    <xdr:cxnSp macro="">
      <xdr:nvCxnSpPr>
        <xdr:cNvPr id="114" name="Straight Arrow Connector 113"/>
        <xdr:cNvCxnSpPr/>
      </xdr:nvCxnSpPr>
      <xdr:spPr>
        <a:xfrm flipH="1">
          <a:off x="14220825" y="11134725"/>
          <a:ext cx="4486275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28575</xdr:colOff>
      <xdr:row>58</xdr:row>
      <xdr:rowOff>82923</xdr:rowOff>
    </xdr:from>
    <xdr:to>
      <xdr:col>31</xdr:col>
      <xdr:colOff>0</xdr:colOff>
      <xdr:row>58</xdr:row>
      <xdr:rowOff>82923</xdr:rowOff>
    </xdr:to>
    <xdr:cxnSp macro="">
      <xdr:nvCxnSpPr>
        <xdr:cNvPr id="118" name="Straight Arrow Connector 117"/>
        <xdr:cNvCxnSpPr/>
      </xdr:nvCxnSpPr>
      <xdr:spPr>
        <a:xfrm>
          <a:off x="18849975" y="11131923"/>
          <a:ext cx="2409825" cy="0"/>
        </a:xfrm>
        <a:prstGeom prst="straightConnector1">
          <a:avLst/>
        </a:prstGeom>
        <a:ln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737945</xdr:colOff>
      <xdr:row>58</xdr:row>
      <xdr:rowOff>85725</xdr:rowOff>
    </xdr:from>
    <xdr:to>
      <xdr:col>19</xdr:col>
      <xdr:colOff>737945</xdr:colOff>
      <xdr:row>60</xdr:row>
      <xdr:rowOff>47625</xdr:rowOff>
    </xdr:to>
    <xdr:cxnSp macro="">
      <xdr:nvCxnSpPr>
        <xdr:cNvPr id="122" name="Straight Arrow Connector 121"/>
        <xdr:cNvCxnSpPr/>
      </xdr:nvCxnSpPr>
      <xdr:spPr>
        <a:xfrm>
          <a:off x="14225345" y="11134725"/>
          <a:ext cx="0" cy="342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110262</xdr:colOff>
      <xdr:row>45</xdr:row>
      <xdr:rowOff>187785</xdr:rowOff>
    </xdr:from>
    <xdr:to>
      <xdr:col>25</xdr:col>
      <xdr:colOff>115747</xdr:colOff>
      <xdr:row>49</xdr:row>
      <xdr:rowOff>0</xdr:rowOff>
    </xdr:to>
    <xdr:cxnSp macro="">
      <xdr:nvCxnSpPr>
        <xdr:cNvPr id="124" name="Straight Arrow Connector 123"/>
        <xdr:cNvCxnSpPr/>
      </xdr:nvCxnSpPr>
      <xdr:spPr>
        <a:xfrm flipV="1">
          <a:off x="17445762" y="8760285"/>
          <a:ext cx="5485" cy="57421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48</xdr:row>
      <xdr:rowOff>186017</xdr:rowOff>
    </xdr:from>
    <xdr:to>
      <xdr:col>25</xdr:col>
      <xdr:colOff>114300</xdr:colOff>
      <xdr:row>48</xdr:row>
      <xdr:rowOff>186017</xdr:rowOff>
    </xdr:to>
    <xdr:cxnSp macro="">
      <xdr:nvCxnSpPr>
        <xdr:cNvPr id="131" name="Straight Arrow Connector 130"/>
        <xdr:cNvCxnSpPr/>
      </xdr:nvCxnSpPr>
      <xdr:spPr>
        <a:xfrm>
          <a:off x="13858875" y="9330017"/>
          <a:ext cx="3590925" cy="0"/>
        </a:xfrm>
        <a:prstGeom prst="straightConnector1">
          <a:avLst/>
        </a:prstGeom>
        <a:ln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26279</xdr:colOff>
      <xdr:row>45</xdr:row>
      <xdr:rowOff>19050</xdr:rowOff>
    </xdr:from>
    <xdr:to>
      <xdr:col>25</xdr:col>
      <xdr:colOff>183930</xdr:colOff>
      <xdr:row>45</xdr:row>
      <xdr:rowOff>187786</xdr:rowOff>
    </xdr:to>
    <xdr:sp macro="" textlink="">
      <xdr:nvSpPr>
        <xdr:cNvPr id="93" name="Pentagon 92"/>
        <xdr:cNvSpPr/>
      </xdr:nvSpPr>
      <xdr:spPr>
        <a:xfrm rot="16200000">
          <a:off x="17415358" y="8597092"/>
          <a:ext cx="168736" cy="157651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463780</xdr:colOff>
      <xdr:row>49</xdr:row>
      <xdr:rowOff>98181</xdr:rowOff>
    </xdr:from>
    <xdr:to>
      <xdr:col>27</xdr:col>
      <xdr:colOff>538529</xdr:colOff>
      <xdr:row>51</xdr:row>
      <xdr:rowOff>98181</xdr:rowOff>
    </xdr:to>
    <xdr:grpSp>
      <xdr:nvGrpSpPr>
        <xdr:cNvPr id="305" name="Group 304"/>
        <xdr:cNvGrpSpPr/>
      </xdr:nvGrpSpPr>
      <xdr:grpSpPr>
        <a:xfrm>
          <a:off x="18589855" y="9432681"/>
          <a:ext cx="770074" cy="381000"/>
          <a:chOff x="17584601" y="9429750"/>
          <a:chExt cx="770074" cy="381000"/>
        </a:xfrm>
      </xdr:grpSpPr>
      <xdr:sp macro="" textlink="">
        <xdr:nvSpPr>
          <xdr:cNvPr id="17448" name="Flowchart: Connector 17447"/>
          <xdr:cNvSpPr/>
        </xdr:nvSpPr>
        <xdr:spPr>
          <a:xfrm>
            <a:off x="17584601" y="9429750"/>
            <a:ext cx="381000" cy="381000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141" name="Straight Arrow Connector 140"/>
          <xdr:cNvCxnSpPr/>
        </xdr:nvCxnSpPr>
        <xdr:spPr>
          <a:xfrm>
            <a:off x="17649825" y="9484564"/>
            <a:ext cx="704850" cy="0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" name="Straight Arrow Connector 141"/>
          <xdr:cNvCxnSpPr/>
        </xdr:nvCxnSpPr>
        <xdr:spPr>
          <a:xfrm>
            <a:off x="17649825" y="9750565"/>
            <a:ext cx="685800" cy="0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3" name="Straight Arrow Connector 142"/>
          <xdr:cNvCxnSpPr>
            <a:stCxn id="17448" idx="3"/>
          </xdr:cNvCxnSpPr>
        </xdr:nvCxnSpPr>
        <xdr:spPr>
          <a:xfrm flipV="1">
            <a:off x="17640261" y="9610398"/>
            <a:ext cx="142914" cy="144556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" name="Straight Arrow Connector 149"/>
          <xdr:cNvCxnSpPr>
            <a:endCxn id="17448" idx="1"/>
          </xdr:cNvCxnSpPr>
        </xdr:nvCxnSpPr>
        <xdr:spPr>
          <a:xfrm flipH="1" flipV="1">
            <a:off x="17640261" y="9485546"/>
            <a:ext cx="142914" cy="127734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468176</xdr:colOff>
      <xdr:row>62</xdr:row>
      <xdr:rowOff>39551</xdr:rowOff>
    </xdr:from>
    <xdr:to>
      <xdr:col>13</xdr:col>
      <xdr:colOff>152400</xdr:colOff>
      <xdr:row>63</xdr:row>
      <xdr:rowOff>142875</xdr:rowOff>
    </xdr:to>
    <xdr:grpSp>
      <xdr:nvGrpSpPr>
        <xdr:cNvPr id="270" name="Group 269"/>
        <xdr:cNvGrpSpPr/>
      </xdr:nvGrpSpPr>
      <xdr:grpSpPr>
        <a:xfrm>
          <a:off x="8935901" y="11850551"/>
          <a:ext cx="379549" cy="293824"/>
          <a:chOff x="9459776" y="10212251"/>
          <a:chExt cx="379549" cy="293824"/>
        </a:xfrm>
      </xdr:grpSpPr>
      <xdr:sp macro="" textlink="">
        <xdr:nvSpPr>
          <xdr:cNvPr id="155" name="Flowchart: Connector 154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160" name="Straight Arrow Connector 159"/>
          <xdr:cNvCxnSpPr>
            <a:stCxn id="155" idx="2"/>
            <a:endCxn id="155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" name="Straight Arrow Connector 163"/>
          <xdr:cNvCxnSpPr>
            <a:stCxn id="155" idx="2"/>
            <a:endCxn id="155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476250</xdr:colOff>
      <xdr:row>22</xdr:row>
      <xdr:rowOff>9525</xdr:rowOff>
    </xdr:from>
    <xdr:to>
      <xdr:col>11</xdr:col>
      <xdr:colOff>152400</xdr:colOff>
      <xdr:row>25</xdr:row>
      <xdr:rowOff>19050</xdr:rowOff>
    </xdr:to>
    <xdr:sp macro="" textlink="">
      <xdr:nvSpPr>
        <xdr:cNvPr id="135" name="Rectangle 134"/>
        <xdr:cNvSpPr/>
      </xdr:nvSpPr>
      <xdr:spPr>
        <a:xfrm>
          <a:off x="8153400" y="4200525"/>
          <a:ext cx="29527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800"/>
            <a:t>BD FT</a:t>
          </a:r>
        </a:p>
      </xdr:txBody>
    </xdr:sp>
    <xdr:clientData/>
  </xdr:twoCellAnchor>
  <xdr:twoCellAnchor>
    <xdr:from>
      <xdr:col>11</xdr:col>
      <xdr:colOff>0</xdr:colOff>
      <xdr:row>5</xdr:row>
      <xdr:rowOff>15420</xdr:rowOff>
    </xdr:from>
    <xdr:to>
      <xdr:col>11</xdr:col>
      <xdr:colOff>1</xdr:colOff>
      <xdr:row>22</xdr:row>
      <xdr:rowOff>0</xdr:rowOff>
    </xdr:to>
    <xdr:cxnSp macro="">
      <xdr:nvCxnSpPr>
        <xdr:cNvPr id="180" name="Straight Arrow Connector 179"/>
        <xdr:cNvCxnSpPr/>
      </xdr:nvCxnSpPr>
      <xdr:spPr>
        <a:xfrm flipH="1">
          <a:off x="8296275" y="967920"/>
          <a:ext cx="1" cy="322308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22</xdr:row>
      <xdr:rowOff>95251</xdr:rowOff>
    </xdr:from>
    <xdr:to>
      <xdr:col>12</xdr:col>
      <xdr:colOff>19050</xdr:colOff>
      <xdr:row>22</xdr:row>
      <xdr:rowOff>95251</xdr:rowOff>
    </xdr:to>
    <xdr:cxnSp macro="">
      <xdr:nvCxnSpPr>
        <xdr:cNvPr id="182" name="Straight Arrow Connector 181"/>
        <xdr:cNvCxnSpPr/>
      </xdr:nvCxnSpPr>
      <xdr:spPr>
        <a:xfrm>
          <a:off x="8534400" y="4286251"/>
          <a:ext cx="5619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22</xdr:row>
      <xdr:rowOff>90621</xdr:rowOff>
    </xdr:from>
    <xdr:to>
      <xdr:col>12</xdr:col>
      <xdr:colOff>9525</xdr:colOff>
      <xdr:row>45</xdr:row>
      <xdr:rowOff>38100</xdr:rowOff>
    </xdr:to>
    <xdr:cxnSp macro="">
      <xdr:nvCxnSpPr>
        <xdr:cNvPr id="188" name="Straight Arrow Connector 187"/>
        <xdr:cNvCxnSpPr/>
      </xdr:nvCxnSpPr>
      <xdr:spPr>
        <a:xfrm>
          <a:off x="9086850" y="4281621"/>
          <a:ext cx="0" cy="432897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45</xdr:row>
      <xdr:rowOff>171450</xdr:rowOff>
    </xdr:from>
    <xdr:to>
      <xdr:col>12</xdr:col>
      <xdr:colOff>9525</xdr:colOff>
      <xdr:row>48</xdr:row>
      <xdr:rowOff>123825</xdr:rowOff>
    </xdr:to>
    <xdr:cxnSp macro="">
      <xdr:nvCxnSpPr>
        <xdr:cNvPr id="189" name="Straight Arrow Connector 188"/>
        <xdr:cNvCxnSpPr/>
      </xdr:nvCxnSpPr>
      <xdr:spPr>
        <a:xfrm>
          <a:off x="9086850" y="8743950"/>
          <a:ext cx="0" cy="5238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58</xdr:row>
      <xdr:rowOff>123825</xdr:rowOff>
    </xdr:from>
    <xdr:to>
      <xdr:col>18</xdr:col>
      <xdr:colOff>28575</xdr:colOff>
      <xdr:row>58</xdr:row>
      <xdr:rowOff>123825</xdr:rowOff>
    </xdr:to>
    <xdr:cxnSp macro="">
      <xdr:nvCxnSpPr>
        <xdr:cNvPr id="196" name="Straight Arrow Connector 195"/>
        <xdr:cNvCxnSpPr/>
      </xdr:nvCxnSpPr>
      <xdr:spPr>
        <a:xfrm>
          <a:off x="8486775" y="11172825"/>
          <a:ext cx="4333875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28575</xdr:colOff>
      <xdr:row>58</xdr:row>
      <xdr:rowOff>123825</xdr:rowOff>
    </xdr:from>
    <xdr:to>
      <xdr:col>18</xdr:col>
      <xdr:colOff>28575</xdr:colOff>
      <xdr:row>60</xdr:row>
      <xdr:rowOff>57150</xdr:rowOff>
    </xdr:to>
    <xdr:cxnSp macro="">
      <xdr:nvCxnSpPr>
        <xdr:cNvPr id="201" name="Straight Arrow Connector 200"/>
        <xdr:cNvCxnSpPr/>
      </xdr:nvCxnSpPr>
      <xdr:spPr>
        <a:xfrm>
          <a:off x="12820650" y="11172825"/>
          <a:ext cx="0" cy="3143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25645</xdr:colOff>
      <xdr:row>18</xdr:row>
      <xdr:rowOff>11723</xdr:rowOff>
    </xdr:from>
    <xdr:to>
      <xdr:col>24</xdr:col>
      <xdr:colOff>647700</xdr:colOff>
      <xdr:row>18</xdr:row>
      <xdr:rowOff>11723</xdr:rowOff>
    </xdr:to>
    <xdr:cxnSp macro="">
      <xdr:nvCxnSpPr>
        <xdr:cNvPr id="235" name="Straight Arrow Connector 234"/>
        <xdr:cNvCxnSpPr/>
      </xdr:nvCxnSpPr>
      <xdr:spPr>
        <a:xfrm>
          <a:off x="16665820" y="3440723"/>
          <a:ext cx="622055" cy="0"/>
        </a:xfrm>
        <a:prstGeom prst="straightConnector1">
          <a:avLst/>
        </a:prstGeom>
        <a:ln>
          <a:prstDash val="dash"/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9525</xdr:colOff>
      <xdr:row>18</xdr:row>
      <xdr:rowOff>19050</xdr:rowOff>
    </xdr:from>
    <xdr:to>
      <xdr:col>30</xdr:col>
      <xdr:colOff>647700</xdr:colOff>
      <xdr:row>18</xdr:row>
      <xdr:rowOff>19050</xdr:rowOff>
    </xdr:to>
    <xdr:cxnSp macro="">
      <xdr:nvCxnSpPr>
        <xdr:cNvPr id="237" name="Straight Arrow Connector 236"/>
        <xdr:cNvCxnSpPr/>
      </xdr:nvCxnSpPr>
      <xdr:spPr>
        <a:xfrm>
          <a:off x="20459700" y="3448050"/>
          <a:ext cx="638175" cy="0"/>
        </a:xfrm>
        <a:prstGeom prst="straightConnector1">
          <a:avLst/>
        </a:prstGeom>
        <a:ln>
          <a:prstDash val="dash"/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638175</xdr:colOff>
      <xdr:row>14</xdr:row>
      <xdr:rowOff>44824</xdr:rowOff>
    </xdr:from>
    <xdr:to>
      <xdr:col>30</xdr:col>
      <xdr:colOff>638175</xdr:colOff>
      <xdr:row>22</xdr:row>
      <xdr:rowOff>0</xdr:rowOff>
    </xdr:to>
    <xdr:cxnSp macro="">
      <xdr:nvCxnSpPr>
        <xdr:cNvPr id="238" name="Straight Arrow Connector 237"/>
        <xdr:cNvCxnSpPr/>
      </xdr:nvCxnSpPr>
      <xdr:spPr>
        <a:xfrm>
          <a:off x="19284763" y="2711824"/>
          <a:ext cx="0" cy="1479176"/>
        </a:xfrm>
        <a:prstGeom prst="straightConnector1">
          <a:avLst/>
        </a:prstGeom>
        <a:ln>
          <a:prstDash val="dash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657225</xdr:colOff>
      <xdr:row>19</xdr:row>
      <xdr:rowOff>114300</xdr:rowOff>
    </xdr:from>
    <xdr:to>
      <xdr:col>29</xdr:col>
      <xdr:colOff>666750</xdr:colOff>
      <xdr:row>19</xdr:row>
      <xdr:rowOff>114300</xdr:rowOff>
    </xdr:to>
    <xdr:cxnSp macro="">
      <xdr:nvCxnSpPr>
        <xdr:cNvPr id="242" name="Straight Arrow Connector 241"/>
        <xdr:cNvCxnSpPr/>
      </xdr:nvCxnSpPr>
      <xdr:spPr>
        <a:xfrm>
          <a:off x="19345275" y="3733800"/>
          <a:ext cx="9525" cy="0"/>
        </a:xfrm>
        <a:prstGeom prst="straightConnector1">
          <a:avLst/>
        </a:prstGeom>
        <a:ln>
          <a:prstDash val="dash"/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76200</xdr:colOff>
      <xdr:row>32</xdr:row>
      <xdr:rowOff>9525</xdr:rowOff>
    </xdr:from>
    <xdr:to>
      <xdr:col>31</xdr:col>
      <xdr:colOff>0</xdr:colOff>
      <xdr:row>32</xdr:row>
      <xdr:rowOff>13666</xdr:rowOff>
    </xdr:to>
    <xdr:cxnSp macro="">
      <xdr:nvCxnSpPr>
        <xdr:cNvPr id="299" name="Straight Arrow Connector 298"/>
        <xdr:cNvCxnSpPr/>
      </xdr:nvCxnSpPr>
      <xdr:spPr>
        <a:xfrm>
          <a:off x="18764250" y="6105525"/>
          <a:ext cx="600075" cy="414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76238</xdr:colOff>
      <xdr:row>28</xdr:row>
      <xdr:rowOff>161925</xdr:rowOff>
    </xdr:from>
    <xdr:to>
      <xdr:col>30</xdr:col>
      <xdr:colOff>76238</xdr:colOff>
      <xdr:row>32</xdr:row>
      <xdr:rowOff>19050</xdr:rowOff>
    </xdr:to>
    <xdr:cxnSp macro="">
      <xdr:nvCxnSpPr>
        <xdr:cNvPr id="304" name="Straight Arrow Connector 303"/>
        <xdr:cNvCxnSpPr/>
      </xdr:nvCxnSpPr>
      <xdr:spPr>
        <a:xfrm>
          <a:off x="18764288" y="5495925"/>
          <a:ext cx="0" cy="6191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649151</xdr:colOff>
      <xdr:row>38</xdr:row>
      <xdr:rowOff>28575</xdr:rowOff>
    </xdr:from>
    <xdr:to>
      <xdr:col>26</xdr:col>
      <xdr:colOff>649151</xdr:colOff>
      <xdr:row>45</xdr:row>
      <xdr:rowOff>66675</xdr:rowOff>
    </xdr:to>
    <xdr:cxnSp macro="">
      <xdr:nvCxnSpPr>
        <xdr:cNvPr id="315" name="Straight Arrow Connector 314"/>
        <xdr:cNvCxnSpPr/>
      </xdr:nvCxnSpPr>
      <xdr:spPr>
        <a:xfrm>
          <a:off x="18775226" y="7267575"/>
          <a:ext cx="0" cy="137160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47625</xdr:colOff>
      <xdr:row>60</xdr:row>
      <xdr:rowOff>176492</xdr:rowOff>
    </xdr:from>
    <xdr:to>
      <xdr:col>17</xdr:col>
      <xdr:colOff>504825</xdr:colOff>
      <xdr:row>60</xdr:row>
      <xdr:rowOff>176492</xdr:rowOff>
    </xdr:to>
    <xdr:cxnSp macro="">
      <xdr:nvCxnSpPr>
        <xdr:cNvPr id="331" name="Straight Arrow Connector 330"/>
        <xdr:cNvCxnSpPr/>
      </xdr:nvCxnSpPr>
      <xdr:spPr>
        <a:xfrm>
          <a:off x="11953875" y="11606492"/>
          <a:ext cx="1066800" cy="0"/>
        </a:xfrm>
        <a:prstGeom prst="straightConnector1">
          <a:avLst/>
        </a:prstGeom>
        <a:ln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34062</xdr:colOff>
      <xdr:row>25</xdr:row>
      <xdr:rowOff>123825</xdr:rowOff>
    </xdr:from>
    <xdr:to>
      <xdr:col>16</xdr:col>
      <xdr:colOff>34062</xdr:colOff>
      <xdr:row>37</xdr:row>
      <xdr:rowOff>66676</xdr:rowOff>
    </xdr:to>
    <xdr:cxnSp macro="">
      <xdr:nvCxnSpPr>
        <xdr:cNvPr id="333" name="Straight Arrow Connector 332"/>
        <xdr:cNvCxnSpPr/>
      </xdr:nvCxnSpPr>
      <xdr:spPr>
        <a:xfrm flipV="1">
          <a:off x="11940312" y="4886325"/>
          <a:ext cx="0" cy="222885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58</xdr:row>
      <xdr:rowOff>171450</xdr:rowOff>
    </xdr:from>
    <xdr:to>
      <xdr:col>16</xdr:col>
      <xdr:colOff>34738</xdr:colOff>
      <xdr:row>60</xdr:row>
      <xdr:rowOff>171450</xdr:rowOff>
    </xdr:to>
    <xdr:cxnSp macro="">
      <xdr:nvCxnSpPr>
        <xdr:cNvPr id="334" name="Straight Arrow Connector 333"/>
        <xdr:cNvCxnSpPr/>
      </xdr:nvCxnSpPr>
      <xdr:spPr>
        <a:xfrm>
          <a:off x="11331388" y="11220450"/>
          <a:ext cx="0" cy="38100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49</xdr:row>
      <xdr:rowOff>47625</xdr:rowOff>
    </xdr:from>
    <xdr:to>
      <xdr:col>16</xdr:col>
      <xdr:colOff>34738</xdr:colOff>
      <xdr:row>58</xdr:row>
      <xdr:rowOff>66675</xdr:rowOff>
    </xdr:to>
    <xdr:cxnSp macro="">
      <xdr:nvCxnSpPr>
        <xdr:cNvPr id="340" name="Straight Arrow Connector 339"/>
        <xdr:cNvCxnSpPr/>
      </xdr:nvCxnSpPr>
      <xdr:spPr>
        <a:xfrm>
          <a:off x="11331388" y="9382125"/>
          <a:ext cx="0" cy="173355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45</xdr:row>
      <xdr:rowOff>171450</xdr:rowOff>
    </xdr:from>
    <xdr:to>
      <xdr:col>16</xdr:col>
      <xdr:colOff>34738</xdr:colOff>
      <xdr:row>48</xdr:row>
      <xdr:rowOff>123825</xdr:rowOff>
    </xdr:to>
    <xdr:cxnSp macro="">
      <xdr:nvCxnSpPr>
        <xdr:cNvPr id="341" name="Straight Arrow Connector 340"/>
        <xdr:cNvCxnSpPr/>
      </xdr:nvCxnSpPr>
      <xdr:spPr>
        <a:xfrm>
          <a:off x="11940988" y="8743950"/>
          <a:ext cx="0" cy="5238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38</xdr:row>
      <xdr:rowOff>28575</xdr:rowOff>
    </xdr:from>
    <xdr:to>
      <xdr:col>16</xdr:col>
      <xdr:colOff>34738</xdr:colOff>
      <xdr:row>45</xdr:row>
      <xdr:rowOff>57150</xdr:rowOff>
    </xdr:to>
    <xdr:cxnSp macro="">
      <xdr:nvCxnSpPr>
        <xdr:cNvPr id="342" name="Straight Arrow Connector 341"/>
        <xdr:cNvCxnSpPr/>
      </xdr:nvCxnSpPr>
      <xdr:spPr>
        <a:xfrm>
          <a:off x="11940988" y="7267575"/>
          <a:ext cx="0" cy="13620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535730</xdr:colOff>
      <xdr:row>25</xdr:row>
      <xdr:rowOff>11980</xdr:rowOff>
    </xdr:from>
    <xdr:to>
      <xdr:col>17</xdr:col>
      <xdr:colOff>57713</xdr:colOff>
      <xdr:row>25</xdr:row>
      <xdr:rowOff>168735</xdr:rowOff>
    </xdr:to>
    <xdr:sp macro="" textlink="">
      <xdr:nvSpPr>
        <xdr:cNvPr id="347" name="Pentagon 346"/>
        <xdr:cNvSpPr/>
      </xdr:nvSpPr>
      <xdr:spPr>
        <a:xfrm rot="16200000">
          <a:off x="12800869" y="4787066"/>
          <a:ext cx="156755" cy="131583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47625</xdr:colOff>
      <xdr:row>25</xdr:row>
      <xdr:rowOff>123253</xdr:rowOff>
    </xdr:from>
    <xdr:to>
      <xdr:col>16</xdr:col>
      <xdr:colOff>535730</xdr:colOff>
      <xdr:row>25</xdr:row>
      <xdr:rowOff>123253</xdr:rowOff>
    </xdr:to>
    <xdr:cxnSp macro="">
      <xdr:nvCxnSpPr>
        <xdr:cNvPr id="348" name="Straight Arrow Connector 347"/>
        <xdr:cNvCxnSpPr>
          <a:endCxn id="347" idx="0"/>
        </xdr:cNvCxnSpPr>
      </xdr:nvCxnSpPr>
      <xdr:spPr>
        <a:xfrm>
          <a:off x="11953875" y="4885753"/>
          <a:ext cx="4881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296726</xdr:colOff>
      <xdr:row>60</xdr:row>
      <xdr:rowOff>125571</xdr:rowOff>
    </xdr:from>
    <xdr:to>
      <xdr:col>16</xdr:col>
      <xdr:colOff>466725</xdr:colOff>
      <xdr:row>61</xdr:row>
      <xdr:rowOff>66674</xdr:rowOff>
    </xdr:to>
    <xdr:grpSp>
      <xdr:nvGrpSpPr>
        <xdr:cNvPr id="355" name="Group 354"/>
        <xdr:cNvGrpSpPr/>
      </xdr:nvGrpSpPr>
      <xdr:grpSpPr>
        <a:xfrm>
          <a:off x="11593376" y="11555571"/>
          <a:ext cx="169999" cy="131603"/>
          <a:chOff x="9459776" y="10212251"/>
          <a:chExt cx="379549" cy="293824"/>
        </a:xfrm>
      </xdr:grpSpPr>
      <xdr:sp macro="" textlink="">
        <xdr:nvSpPr>
          <xdr:cNvPr id="356" name="Flowchart: Connector 355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357" name="Straight Arrow Connector 356"/>
          <xdr:cNvCxnSpPr>
            <a:stCxn id="356" idx="2"/>
            <a:endCxn id="356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8" name="Straight Arrow Connector 357"/>
          <xdr:cNvCxnSpPr>
            <a:stCxn id="356" idx="2"/>
            <a:endCxn id="356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114300</xdr:colOff>
      <xdr:row>48</xdr:row>
      <xdr:rowOff>114301</xdr:rowOff>
    </xdr:from>
    <xdr:to>
      <xdr:col>20</xdr:col>
      <xdr:colOff>298858</xdr:colOff>
      <xdr:row>49</xdr:row>
      <xdr:rowOff>66675</xdr:rowOff>
    </xdr:to>
    <xdr:grpSp>
      <xdr:nvGrpSpPr>
        <xdr:cNvPr id="359" name="Group 358"/>
        <xdr:cNvGrpSpPr/>
      </xdr:nvGrpSpPr>
      <xdr:grpSpPr>
        <a:xfrm flipH="1">
          <a:off x="14344650" y="9258301"/>
          <a:ext cx="184558" cy="142874"/>
          <a:chOff x="9459776" y="10212251"/>
          <a:chExt cx="379549" cy="293824"/>
        </a:xfrm>
      </xdr:grpSpPr>
      <xdr:sp macro="" textlink="">
        <xdr:nvSpPr>
          <xdr:cNvPr id="360" name="Flowchart: Connector 359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361" name="Straight Arrow Connector 360"/>
          <xdr:cNvCxnSpPr>
            <a:stCxn id="360" idx="2"/>
            <a:endCxn id="360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2" name="Straight Arrow Connector 361"/>
          <xdr:cNvCxnSpPr>
            <a:stCxn id="360" idx="2"/>
            <a:endCxn id="360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26</xdr:col>
      <xdr:colOff>587215</xdr:colOff>
      <xdr:row>52</xdr:row>
      <xdr:rowOff>34162</xdr:rowOff>
    </xdr:from>
    <xdr:to>
      <xdr:col>27</xdr:col>
      <xdr:colOff>22055</xdr:colOff>
      <xdr:row>52</xdr:row>
      <xdr:rowOff>173770</xdr:rowOff>
    </xdr:to>
    <xdr:grpSp>
      <xdr:nvGrpSpPr>
        <xdr:cNvPr id="127" name="Group 126"/>
        <xdr:cNvGrpSpPr/>
      </xdr:nvGrpSpPr>
      <xdr:grpSpPr>
        <a:xfrm rot="16200000">
          <a:off x="18708569" y="9944883"/>
          <a:ext cx="139608" cy="130165"/>
          <a:chOff x="9459776" y="10212251"/>
          <a:chExt cx="379549" cy="293824"/>
        </a:xfrm>
      </xdr:grpSpPr>
      <xdr:sp macro="" textlink="">
        <xdr:nvSpPr>
          <xdr:cNvPr id="128" name="Flowchart: Connector 127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129" name="Straight Arrow Connector 128"/>
          <xdr:cNvCxnSpPr>
            <a:stCxn id="128" idx="2"/>
            <a:endCxn id="128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" name="Straight Arrow Connector 131"/>
          <xdr:cNvCxnSpPr>
            <a:stCxn id="128" idx="2"/>
            <a:endCxn id="128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366471</xdr:colOff>
      <xdr:row>49</xdr:row>
      <xdr:rowOff>0</xdr:rowOff>
    </xdr:from>
    <xdr:to>
      <xdr:col>19</xdr:col>
      <xdr:colOff>366471</xdr:colOff>
      <xdr:row>60</xdr:row>
      <xdr:rowOff>38100</xdr:rowOff>
    </xdr:to>
    <xdr:cxnSp macro="">
      <xdr:nvCxnSpPr>
        <xdr:cNvPr id="159" name="Straight Arrow Connector 158"/>
        <xdr:cNvCxnSpPr/>
      </xdr:nvCxnSpPr>
      <xdr:spPr>
        <a:xfrm>
          <a:off x="14320596" y="9334500"/>
          <a:ext cx="0" cy="213360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314326</xdr:colOff>
      <xdr:row>62</xdr:row>
      <xdr:rowOff>169771</xdr:rowOff>
    </xdr:from>
    <xdr:to>
      <xdr:col>31</xdr:col>
      <xdr:colOff>9525</xdr:colOff>
      <xdr:row>62</xdr:row>
      <xdr:rowOff>169771</xdr:rowOff>
    </xdr:to>
    <xdr:cxnSp macro="">
      <xdr:nvCxnSpPr>
        <xdr:cNvPr id="170" name="Straight Arrow Connector 169"/>
        <xdr:cNvCxnSpPr/>
      </xdr:nvCxnSpPr>
      <xdr:spPr>
        <a:xfrm flipH="1">
          <a:off x="15011401" y="11980771"/>
          <a:ext cx="436244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8282</xdr:colOff>
      <xdr:row>7</xdr:row>
      <xdr:rowOff>12424</xdr:rowOff>
    </xdr:from>
    <xdr:to>
      <xdr:col>31</xdr:col>
      <xdr:colOff>0</xdr:colOff>
      <xdr:row>7</xdr:row>
      <xdr:rowOff>12424</xdr:rowOff>
    </xdr:to>
    <xdr:cxnSp macro="">
      <xdr:nvCxnSpPr>
        <xdr:cNvPr id="175" name="Straight Arrow Connector 174"/>
        <xdr:cNvCxnSpPr/>
      </xdr:nvCxnSpPr>
      <xdr:spPr>
        <a:xfrm>
          <a:off x="18726978" y="1345924"/>
          <a:ext cx="67089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45</xdr:row>
      <xdr:rowOff>123253</xdr:rowOff>
    </xdr:from>
    <xdr:to>
      <xdr:col>25</xdr:col>
      <xdr:colOff>9525</xdr:colOff>
      <xdr:row>45</xdr:row>
      <xdr:rowOff>123253</xdr:rowOff>
    </xdr:to>
    <xdr:cxnSp macro="">
      <xdr:nvCxnSpPr>
        <xdr:cNvPr id="191" name="Straight Arrow Connector 190"/>
        <xdr:cNvCxnSpPr/>
      </xdr:nvCxnSpPr>
      <xdr:spPr>
        <a:xfrm>
          <a:off x="16640175" y="8695753"/>
          <a:ext cx="704850" cy="0"/>
        </a:xfrm>
        <a:prstGeom prst="straightConnector1">
          <a:avLst/>
        </a:prstGeom>
        <a:ln>
          <a:headEnd type="non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504825</xdr:colOff>
      <xdr:row>45</xdr:row>
      <xdr:rowOff>123253</xdr:rowOff>
    </xdr:from>
    <xdr:to>
      <xdr:col>27</xdr:col>
      <xdr:colOff>504825</xdr:colOff>
      <xdr:row>45</xdr:row>
      <xdr:rowOff>123253</xdr:rowOff>
    </xdr:to>
    <xdr:cxnSp macro="">
      <xdr:nvCxnSpPr>
        <xdr:cNvPr id="192" name="Straight Arrow Connector 191"/>
        <xdr:cNvCxnSpPr/>
      </xdr:nvCxnSpPr>
      <xdr:spPr>
        <a:xfrm>
          <a:off x="19278600" y="8695753"/>
          <a:ext cx="0" cy="0"/>
        </a:xfrm>
        <a:prstGeom prst="straightConnector1">
          <a:avLst/>
        </a:prstGeom>
        <a:ln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76200</xdr:colOff>
      <xdr:row>40</xdr:row>
      <xdr:rowOff>9525</xdr:rowOff>
    </xdr:from>
    <xdr:to>
      <xdr:col>31</xdr:col>
      <xdr:colOff>0</xdr:colOff>
      <xdr:row>40</xdr:row>
      <xdr:rowOff>13666</xdr:rowOff>
    </xdr:to>
    <xdr:cxnSp macro="">
      <xdr:nvCxnSpPr>
        <xdr:cNvPr id="194" name="Straight Arrow Connector 193"/>
        <xdr:cNvCxnSpPr/>
      </xdr:nvCxnSpPr>
      <xdr:spPr>
        <a:xfrm>
          <a:off x="18830925" y="7629525"/>
          <a:ext cx="600075" cy="414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76238</xdr:colOff>
      <xdr:row>37</xdr:row>
      <xdr:rowOff>161925</xdr:rowOff>
    </xdr:from>
    <xdr:to>
      <xdr:col>30</xdr:col>
      <xdr:colOff>76238</xdr:colOff>
      <xdr:row>40</xdr:row>
      <xdr:rowOff>19050</xdr:rowOff>
    </xdr:to>
    <xdr:cxnSp macro="">
      <xdr:nvCxnSpPr>
        <xdr:cNvPr id="195" name="Straight Arrow Connector 194"/>
        <xdr:cNvCxnSpPr/>
      </xdr:nvCxnSpPr>
      <xdr:spPr>
        <a:xfrm>
          <a:off x="18830963" y="7210425"/>
          <a:ext cx="0" cy="4286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12</xdr:row>
          <xdr:rowOff>104775</xdr:rowOff>
        </xdr:from>
        <xdr:to>
          <xdr:col>9</xdr:col>
          <xdr:colOff>266700</xdr:colOff>
          <xdr:row>13</xdr:row>
          <xdr:rowOff>104775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33</xdr:row>
          <xdr:rowOff>123825</xdr:rowOff>
        </xdr:from>
        <xdr:to>
          <xdr:col>29</xdr:col>
          <xdr:colOff>457200</xdr:colOff>
          <xdr:row>34</xdr:row>
          <xdr:rowOff>123825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333375</xdr:colOff>
      <xdr:row>83</xdr:row>
      <xdr:rowOff>1</xdr:rowOff>
    </xdr:from>
    <xdr:to>
      <xdr:col>8</xdr:col>
      <xdr:colOff>0</xdr:colOff>
      <xdr:row>83</xdr:row>
      <xdr:rowOff>1</xdr:rowOff>
    </xdr:to>
    <xdr:cxnSp macro="">
      <xdr:nvCxnSpPr>
        <xdr:cNvPr id="140" name="Straight Arrow Connector 139"/>
        <xdr:cNvCxnSpPr/>
      </xdr:nvCxnSpPr>
      <xdr:spPr>
        <a:xfrm>
          <a:off x="4143375" y="17145001"/>
          <a:ext cx="22764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638175</xdr:colOff>
      <xdr:row>83</xdr:row>
      <xdr:rowOff>28575</xdr:rowOff>
    </xdr:from>
    <xdr:to>
      <xdr:col>30</xdr:col>
      <xdr:colOff>223630</xdr:colOff>
      <xdr:row>83</xdr:row>
      <xdr:rowOff>28575</xdr:rowOff>
    </xdr:to>
    <xdr:cxnSp macro="">
      <xdr:nvCxnSpPr>
        <xdr:cNvPr id="145" name="Straight Arrow Connector 144"/>
        <xdr:cNvCxnSpPr/>
      </xdr:nvCxnSpPr>
      <xdr:spPr>
        <a:xfrm>
          <a:off x="7753350" y="790575"/>
          <a:ext cx="11158330" cy="0"/>
        </a:xfrm>
        <a:prstGeom prst="straightConnector1">
          <a:avLst/>
        </a:prstGeom>
        <a:ln w="38100">
          <a:headEnd type="none"/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4927</xdr:colOff>
      <xdr:row>83</xdr:row>
      <xdr:rowOff>47625</xdr:rowOff>
    </xdr:from>
    <xdr:to>
      <xdr:col>30</xdr:col>
      <xdr:colOff>4927</xdr:colOff>
      <xdr:row>86</xdr:row>
      <xdr:rowOff>16565</xdr:rowOff>
    </xdr:to>
    <xdr:cxnSp macro="">
      <xdr:nvCxnSpPr>
        <xdr:cNvPr id="146" name="Straight Arrow Connector 145"/>
        <xdr:cNvCxnSpPr/>
      </xdr:nvCxnSpPr>
      <xdr:spPr>
        <a:xfrm>
          <a:off x="18692977" y="809625"/>
          <a:ext cx="0" cy="54044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14284</xdr:colOff>
      <xdr:row>83</xdr:row>
      <xdr:rowOff>38100</xdr:rowOff>
    </xdr:from>
    <xdr:to>
      <xdr:col>19</xdr:col>
      <xdr:colOff>14284</xdr:colOff>
      <xdr:row>96</xdr:row>
      <xdr:rowOff>94072</xdr:rowOff>
    </xdr:to>
    <xdr:cxnSp macro="">
      <xdr:nvCxnSpPr>
        <xdr:cNvPr id="147" name="Straight Arrow Connector 146"/>
        <xdr:cNvCxnSpPr>
          <a:endCxn id="154" idx="3"/>
        </xdr:cNvCxnSpPr>
      </xdr:nvCxnSpPr>
      <xdr:spPr>
        <a:xfrm>
          <a:off x="13968409" y="800100"/>
          <a:ext cx="0" cy="2532472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8</xdr:col>
      <xdr:colOff>0</xdr:colOff>
      <xdr:row>81</xdr:row>
      <xdr:rowOff>120194</xdr:rowOff>
    </xdr:from>
    <xdr:to>
      <xdr:col>10</xdr:col>
      <xdr:colOff>0</xdr:colOff>
      <xdr:row>85</xdr:row>
      <xdr:rowOff>95250</xdr:rowOff>
    </xdr:to>
    <xdr:sp macro="" textlink="">
      <xdr:nvSpPr>
        <xdr:cNvPr id="148" name="Rectangle 147"/>
        <xdr:cNvSpPr/>
      </xdr:nvSpPr>
      <xdr:spPr>
        <a:xfrm>
          <a:off x="6419850" y="501194"/>
          <a:ext cx="1343025" cy="73705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2000" b="1"/>
            <a:t>Boilers</a:t>
          </a:r>
          <a:endParaRPr lang="en-US" sz="1100" b="1"/>
        </a:p>
      </xdr:txBody>
    </xdr:sp>
    <xdr:clientData/>
  </xdr:twoCellAnchor>
  <xdr:twoCellAnchor>
    <xdr:from>
      <xdr:col>14</xdr:col>
      <xdr:colOff>0</xdr:colOff>
      <xdr:row>96</xdr:row>
      <xdr:rowOff>0</xdr:rowOff>
    </xdr:from>
    <xdr:to>
      <xdr:col>15</xdr:col>
      <xdr:colOff>0</xdr:colOff>
      <xdr:row>98</xdr:row>
      <xdr:rowOff>133350</xdr:rowOff>
    </xdr:to>
    <xdr:sp macro="" textlink="">
      <xdr:nvSpPr>
        <xdr:cNvPr id="149" name="Flowchart: Manual Operation 22"/>
        <xdr:cNvSpPr/>
      </xdr:nvSpPr>
      <xdr:spPr>
        <a:xfrm rot="5400000">
          <a:off x="10582275" y="3124200"/>
          <a:ext cx="514350" cy="742950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16519"/>
            <a:gd name="connsiteY0" fmla="*/ 0 h 10080"/>
            <a:gd name="connsiteX1" fmla="*/ 16519 w 16519"/>
            <a:gd name="connsiteY1" fmla="*/ 80 h 10080"/>
            <a:gd name="connsiteX2" fmla="*/ 14519 w 16519"/>
            <a:gd name="connsiteY2" fmla="*/ 10080 h 10080"/>
            <a:gd name="connsiteX3" fmla="*/ 8519 w 16519"/>
            <a:gd name="connsiteY3" fmla="*/ 10080 h 10080"/>
            <a:gd name="connsiteX4" fmla="*/ 0 w 16519"/>
            <a:gd name="connsiteY4" fmla="*/ 0 h 10080"/>
            <a:gd name="connsiteX0" fmla="*/ 0 w 20371"/>
            <a:gd name="connsiteY0" fmla="*/ 0 h 10080"/>
            <a:gd name="connsiteX1" fmla="*/ 20371 w 20371"/>
            <a:gd name="connsiteY1" fmla="*/ 0 h 10080"/>
            <a:gd name="connsiteX2" fmla="*/ 14519 w 20371"/>
            <a:gd name="connsiteY2" fmla="*/ 10080 h 10080"/>
            <a:gd name="connsiteX3" fmla="*/ 8519 w 20371"/>
            <a:gd name="connsiteY3" fmla="*/ 10080 h 10080"/>
            <a:gd name="connsiteX4" fmla="*/ 0 w 20371"/>
            <a:gd name="connsiteY4" fmla="*/ 0 h 10080"/>
            <a:gd name="connsiteX0" fmla="*/ 0 w 17408"/>
            <a:gd name="connsiteY0" fmla="*/ 159 h 10080"/>
            <a:gd name="connsiteX1" fmla="*/ 17408 w 17408"/>
            <a:gd name="connsiteY1" fmla="*/ 0 h 10080"/>
            <a:gd name="connsiteX2" fmla="*/ 11556 w 17408"/>
            <a:gd name="connsiteY2" fmla="*/ 10080 h 10080"/>
            <a:gd name="connsiteX3" fmla="*/ 5556 w 17408"/>
            <a:gd name="connsiteY3" fmla="*/ 10080 h 10080"/>
            <a:gd name="connsiteX4" fmla="*/ 0 w 17408"/>
            <a:gd name="connsiteY4" fmla="*/ 159 h 10080"/>
            <a:gd name="connsiteX0" fmla="*/ 0 w 17556"/>
            <a:gd name="connsiteY0" fmla="*/ 0 h 10080"/>
            <a:gd name="connsiteX1" fmla="*/ 17556 w 17556"/>
            <a:gd name="connsiteY1" fmla="*/ 0 h 10080"/>
            <a:gd name="connsiteX2" fmla="*/ 11704 w 17556"/>
            <a:gd name="connsiteY2" fmla="*/ 10080 h 10080"/>
            <a:gd name="connsiteX3" fmla="*/ 5704 w 17556"/>
            <a:gd name="connsiteY3" fmla="*/ 10080 h 10080"/>
            <a:gd name="connsiteX4" fmla="*/ 0 w 17556"/>
            <a:gd name="connsiteY4" fmla="*/ 0 h 100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7556" h="10080">
              <a:moveTo>
                <a:pt x="0" y="0"/>
              </a:moveTo>
              <a:lnTo>
                <a:pt x="17556" y="0"/>
              </a:lnTo>
              <a:lnTo>
                <a:pt x="11704" y="10080"/>
              </a:lnTo>
              <a:lnTo>
                <a:pt x="5704" y="10080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vert270" wrap="square" lIns="0" tIns="0" rIns="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indent="0" algn="ctr"/>
          <a:r>
            <a:rPr lang="en-U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             Turbine</a:t>
          </a:r>
          <a:endParaRPr lang="en-US" sz="1100" baseline="0">
            <a:solidFill>
              <a:schemeClr val="lt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0</xdr:colOff>
      <xdr:row>98</xdr:row>
      <xdr:rowOff>171450</xdr:rowOff>
    </xdr:from>
    <xdr:to>
      <xdr:col>20</xdr:col>
      <xdr:colOff>0</xdr:colOff>
      <xdr:row>107</xdr:row>
      <xdr:rowOff>152400</xdr:rowOff>
    </xdr:to>
    <xdr:cxnSp macro="">
      <xdr:nvCxnSpPr>
        <xdr:cNvPr id="151" name="Straight Arrow Connector 150"/>
        <xdr:cNvCxnSpPr/>
      </xdr:nvCxnSpPr>
      <xdr:spPr>
        <a:xfrm>
          <a:off x="14230350" y="18840450"/>
          <a:ext cx="0" cy="16954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25</xdr:col>
      <xdr:colOff>1</xdr:colOff>
      <xdr:row>83</xdr:row>
      <xdr:rowOff>47625</xdr:rowOff>
    </xdr:from>
    <xdr:to>
      <xdr:col>25</xdr:col>
      <xdr:colOff>2</xdr:colOff>
      <xdr:row>96</xdr:row>
      <xdr:rowOff>65496</xdr:rowOff>
    </xdr:to>
    <xdr:cxnSp macro="">
      <xdr:nvCxnSpPr>
        <xdr:cNvPr id="168" name="Straight Arrow Connector 167"/>
        <xdr:cNvCxnSpPr>
          <a:endCxn id="166" idx="3"/>
        </xdr:cNvCxnSpPr>
      </xdr:nvCxnSpPr>
      <xdr:spPr>
        <a:xfrm flipH="1">
          <a:off x="16640176" y="809625"/>
          <a:ext cx="1" cy="249437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83</xdr:row>
      <xdr:rowOff>38100</xdr:rowOff>
    </xdr:from>
    <xdr:to>
      <xdr:col>14</xdr:col>
      <xdr:colOff>9525</xdr:colOff>
      <xdr:row>96</xdr:row>
      <xdr:rowOff>167114</xdr:rowOff>
    </xdr:to>
    <xdr:cxnSp macro="">
      <xdr:nvCxnSpPr>
        <xdr:cNvPr id="169" name="Straight Arrow Connector 168"/>
        <xdr:cNvCxnSpPr>
          <a:endCxn id="149" idx="3"/>
        </xdr:cNvCxnSpPr>
      </xdr:nvCxnSpPr>
      <xdr:spPr>
        <a:xfrm flipH="1">
          <a:off x="10467975" y="800100"/>
          <a:ext cx="9525" cy="2605514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21</xdr:col>
      <xdr:colOff>38</xdr:colOff>
      <xdr:row>108</xdr:row>
      <xdr:rowOff>47625</xdr:rowOff>
    </xdr:from>
    <xdr:to>
      <xdr:col>21</xdr:col>
      <xdr:colOff>38</xdr:colOff>
      <xdr:row>116</xdr:row>
      <xdr:rowOff>142875</xdr:rowOff>
    </xdr:to>
    <xdr:cxnSp macro="">
      <xdr:nvCxnSpPr>
        <xdr:cNvPr id="171" name="Straight Arrow Connector 170"/>
        <xdr:cNvCxnSpPr/>
      </xdr:nvCxnSpPr>
      <xdr:spPr>
        <a:xfrm>
          <a:off x="15306713" y="5572125"/>
          <a:ext cx="0" cy="16192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16</xdr:col>
      <xdr:colOff>523875</xdr:colOff>
      <xdr:row>96</xdr:row>
      <xdr:rowOff>114300</xdr:rowOff>
    </xdr:from>
    <xdr:to>
      <xdr:col>17</xdr:col>
      <xdr:colOff>66637</xdr:colOff>
      <xdr:row>98</xdr:row>
      <xdr:rowOff>19050</xdr:rowOff>
    </xdr:to>
    <xdr:sp macro="" textlink="">
      <xdr:nvSpPr>
        <xdr:cNvPr id="173" name="Flowchart: Collate 172"/>
        <xdr:cNvSpPr/>
      </xdr:nvSpPr>
      <xdr:spPr>
        <a:xfrm>
          <a:off x="12430125" y="3352800"/>
          <a:ext cx="152362" cy="285750"/>
        </a:xfrm>
        <a:prstGeom prst="flowChartCollate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591944</xdr:colOff>
      <xdr:row>98</xdr:row>
      <xdr:rowOff>85725</xdr:rowOff>
    </xdr:from>
    <xdr:to>
      <xdr:col>16</xdr:col>
      <xdr:colOff>608902</xdr:colOff>
      <xdr:row>116</xdr:row>
      <xdr:rowOff>152400</xdr:rowOff>
    </xdr:to>
    <xdr:cxnSp macro="">
      <xdr:nvCxnSpPr>
        <xdr:cNvPr id="174" name="Straight Arrow Connector 173"/>
        <xdr:cNvCxnSpPr/>
      </xdr:nvCxnSpPr>
      <xdr:spPr>
        <a:xfrm flipH="1">
          <a:off x="12498194" y="3705225"/>
          <a:ext cx="16958" cy="34956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98</xdr:row>
      <xdr:rowOff>108196</xdr:rowOff>
    </xdr:from>
    <xdr:to>
      <xdr:col>15</xdr:col>
      <xdr:colOff>0</xdr:colOff>
      <xdr:row>116</xdr:row>
      <xdr:rowOff>142875</xdr:rowOff>
    </xdr:to>
    <xdr:cxnSp macro="">
      <xdr:nvCxnSpPr>
        <xdr:cNvPr id="178" name="Straight Arrow Connector 177"/>
        <xdr:cNvCxnSpPr/>
      </xdr:nvCxnSpPr>
      <xdr:spPr>
        <a:xfrm>
          <a:off x="11210925" y="3727696"/>
          <a:ext cx="0" cy="3463679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26</xdr:col>
      <xdr:colOff>9525</xdr:colOff>
      <xdr:row>98</xdr:row>
      <xdr:rowOff>161925</xdr:rowOff>
    </xdr:from>
    <xdr:to>
      <xdr:col>26</xdr:col>
      <xdr:colOff>9525</xdr:colOff>
      <xdr:row>107</xdr:row>
      <xdr:rowOff>142875</xdr:rowOff>
    </xdr:to>
    <xdr:cxnSp macro="">
      <xdr:nvCxnSpPr>
        <xdr:cNvPr id="179" name="Straight Arrow Connector 178"/>
        <xdr:cNvCxnSpPr/>
      </xdr:nvCxnSpPr>
      <xdr:spPr>
        <a:xfrm>
          <a:off x="18135600" y="18830925"/>
          <a:ext cx="0" cy="16954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107</xdr:row>
      <xdr:rowOff>161930</xdr:rowOff>
    </xdr:from>
    <xdr:to>
      <xdr:col>30</xdr:col>
      <xdr:colOff>590550</xdr:colOff>
      <xdr:row>107</xdr:row>
      <xdr:rowOff>161930</xdr:rowOff>
    </xdr:to>
    <xdr:cxnSp macro="">
      <xdr:nvCxnSpPr>
        <xdr:cNvPr id="184" name="Straight Arrow Connector 183"/>
        <xdr:cNvCxnSpPr/>
      </xdr:nvCxnSpPr>
      <xdr:spPr>
        <a:xfrm>
          <a:off x="13963650" y="5495930"/>
          <a:ext cx="5314950" cy="0"/>
        </a:xfrm>
        <a:prstGeom prst="straightConnector1">
          <a:avLst/>
        </a:prstGeom>
        <a:ln w="28575"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428626</xdr:colOff>
      <xdr:row>139</xdr:row>
      <xdr:rowOff>0</xdr:rowOff>
    </xdr:from>
    <xdr:to>
      <xdr:col>20</xdr:col>
      <xdr:colOff>361950</xdr:colOff>
      <xdr:row>142</xdr:row>
      <xdr:rowOff>76200</xdr:rowOff>
    </xdr:to>
    <xdr:sp macro="" textlink="">
      <xdr:nvSpPr>
        <xdr:cNvPr id="185" name="Flowchart: Terminator 184"/>
        <xdr:cNvSpPr/>
      </xdr:nvSpPr>
      <xdr:spPr>
        <a:xfrm>
          <a:off x="12944476" y="11430000"/>
          <a:ext cx="2114549" cy="647700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Deaerator</a:t>
          </a:r>
        </a:p>
      </xdr:txBody>
    </xdr:sp>
    <xdr:clientData/>
  </xdr:twoCellAnchor>
  <xdr:twoCellAnchor>
    <xdr:from>
      <xdr:col>23</xdr:col>
      <xdr:colOff>566737</xdr:colOff>
      <xdr:row>116</xdr:row>
      <xdr:rowOff>161925</xdr:rowOff>
    </xdr:from>
    <xdr:to>
      <xdr:col>23</xdr:col>
      <xdr:colOff>566737</xdr:colOff>
      <xdr:row>124</xdr:row>
      <xdr:rowOff>114300</xdr:rowOff>
    </xdr:to>
    <xdr:cxnSp macro="">
      <xdr:nvCxnSpPr>
        <xdr:cNvPr id="186" name="Straight Arrow Connector 185"/>
        <xdr:cNvCxnSpPr/>
      </xdr:nvCxnSpPr>
      <xdr:spPr>
        <a:xfrm>
          <a:off x="16637317" y="22259925"/>
          <a:ext cx="0" cy="14763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24</xdr:col>
      <xdr:colOff>743414</xdr:colOff>
      <xdr:row>124</xdr:row>
      <xdr:rowOff>123824</xdr:rowOff>
    </xdr:from>
    <xdr:to>
      <xdr:col>30</xdr:col>
      <xdr:colOff>666750</xdr:colOff>
      <xdr:row>124</xdr:row>
      <xdr:rowOff>123824</xdr:rowOff>
    </xdr:to>
    <xdr:cxnSp macro="">
      <xdr:nvCxnSpPr>
        <xdr:cNvPr id="190" name="Straight Arrow Connector 189"/>
        <xdr:cNvCxnSpPr/>
      </xdr:nvCxnSpPr>
      <xdr:spPr>
        <a:xfrm>
          <a:off x="17395902" y="23745824"/>
          <a:ext cx="3872726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26</xdr:col>
      <xdr:colOff>628650</xdr:colOff>
      <xdr:row>99</xdr:row>
      <xdr:rowOff>9525</xdr:rowOff>
    </xdr:from>
    <xdr:to>
      <xdr:col>26</xdr:col>
      <xdr:colOff>628650</xdr:colOff>
      <xdr:row>107</xdr:row>
      <xdr:rowOff>104775</xdr:rowOff>
    </xdr:to>
    <xdr:cxnSp macro="">
      <xdr:nvCxnSpPr>
        <xdr:cNvPr id="197" name="Straight Arrow Connector 196"/>
        <xdr:cNvCxnSpPr/>
      </xdr:nvCxnSpPr>
      <xdr:spPr>
        <a:xfrm>
          <a:off x="18754725" y="18869025"/>
          <a:ext cx="0" cy="161925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630101</xdr:colOff>
      <xdr:row>108</xdr:row>
      <xdr:rowOff>28575</xdr:rowOff>
    </xdr:from>
    <xdr:to>
      <xdr:col>26</xdr:col>
      <xdr:colOff>630101</xdr:colOff>
      <xdr:row>116</xdr:row>
      <xdr:rowOff>66675</xdr:rowOff>
    </xdr:to>
    <xdr:cxnSp macro="">
      <xdr:nvCxnSpPr>
        <xdr:cNvPr id="198" name="Straight Arrow Connector 197"/>
        <xdr:cNvCxnSpPr/>
      </xdr:nvCxnSpPr>
      <xdr:spPr>
        <a:xfrm>
          <a:off x="18756176" y="20602575"/>
          <a:ext cx="0" cy="156210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630101</xdr:colOff>
      <xdr:row>117</xdr:row>
      <xdr:rowOff>38100</xdr:rowOff>
    </xdr:from>
    <xdr:to>
      <xdr:col>26</xdr:col>
      <xdr:colOff>630101</xdr:colOff>
      <xdr:row>124</xdr:row>
      <xdr:rowOff>57150</xdr:rowOff>
    </xdr:to>
    <xdr:cxnSp macro="">
      <xdr:nvCxnSpPr>
        <xdr:cNvPr id="327" name="Straight Arrow Connector 326"/>
        <xdr:cNvCxnSpPr/>
      </xdr:nvCxnSpPr>
      <xdr:spPr>
        <a:xfrm>
          <a:off x="18756176" y="22326600"/>
          <a:ext cx="0" cy="135255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630101</xdr:colOff>
      <xdr:row>125</xdr:row>
      <xdr:rowOff>0</xdr:rowOff>
    </xdr:from>
    <xdr:to>
      <xdr:col>26</xdr:col>
      <xdr:colOff>630101</xdr:colOff>
      <xdr:row>127</xdr:row>
      <xdr:rowOff>95250</xdr:rowOff>
    </xdr:to>
    <xdr:cxnSp macro="">
      <xdr:nvCxnSpPr>
        <xdr:cNvPr id="343" name="Straight Arrow Connector 342"/>
        <xdr:cNvCxnSpPr>
          <a:endCxn id="230" idx="0"/>
        </xdr:cNvCxnSpPr>
      </xdr:nvCxnSpPr>
      <xdr:spPr>
        <a:xfrm>
          <a:off x="18756176" y="23812500"/>
          <a:ext cx="0" cy="47625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563426</xdr:colOff>
      <xdr:row>107</xdr:row>
      <xdr:rowOff>180975</xdr:rowOff>
    </xdr:from>
    <xdr:to>
      <xdr:col>21</xdr:col>
      <xdr:colOff>563426</xdr:colOff>
      <xdr:row>116</xdr:row>
      <xdr:rowOff>66675</xdr:rowOff>
    </xdr:to>
    <xdr:cxnSp macro="">
      <xdr:nvCxnSpPr>
        <xdr:cNvPr id="363" name="Straight Arrow Connector 362"/>
        <xdr:cNvCxnSpPr/>
      </xdr:nvCxnSpPr>
      <xdr:spPr>
        <a:xfrm>
          <a:off x="15403376" y="20564475"/>
          <a:ext cx="0" cy="16002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21</xdr:col>
      <xdr:colOff>0</xdr:colOff>
      <xdr:row>99</xdr:row>
      <xdr:rowOff>33471</xdr:rowOff>
    </xdr:from>
    <xdr:to>
      <xdr:col>21</xdr:col>
      <xdr:colOff>0</xdr:colOff>
      <xdr:row>107</xdr:row>
      <xdr:rowOff>95250</xdr:rowOff>
    </xdr:to>
    <xdr:cxnSp macro="">
      <xdr:nvCxnSpPr>
        <xdr:cNvPr id="199" name="Straight Arrow Connector 198"/>
        <xdr:cNvCxnSpPr/>
      </xdr:nvCxnSpPr>
      <xdr:spPr>
        <a:xfrm>
          <a:off x="15306675" y="3843471"/>
          <a:ext cx="0" cy="1585779"/>
        </a:xfrm>
        <a:prstGeom prst="straightConnector1">
          <a:avLst/>
        </a:prstGeom>
        <a:ln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26</xdr:col>
      <xdr:colOff>648997</xdr:colOff>
      <xdr:row>137</xdr:row>
      <xdr:rowOff>38100</xdr:rowOff>
    </xdr:from>
    <xdr:to>
      <xdr:col>26</xdr:col>
      <xdr:colOff>648997</xdr:colOff>
      <xdr:row>139</xdr:row>
      <xdr:rowOff>152400</xdr:rowOff>
    </xdr:to>
    <xdr:cxnSp macro="">
      <xdr:nvCxnSpPr>
        <xdr:cNvPr id="200" name="Straight Arrow Connector 199"/>
        <xdr:cNvCxnSpPr/>
      </xdr:nvCxnSpPr>
      <xdr:spPr>
        <a:xfrm>
          <a:off x="18775072" y="26136600"/>
          <a:ext cx="0" cy="4953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314326</xdr:colOff>
      <xdr:row>139</xdr:row>
      <xdr:rowOff>160246</xdr:rowOff>
    </xdr:from>
    <xdr:to>
      <xdr:col>26</xdr:col>
      <xdr:colOff>655320</xdr:colOff>
      <xdr:row>139</xdr:row>
      <xdr:rowOff>160246</xdr:rowOff>
    </xdr:to>
    <xdr:cxnSp macro="">
      <xdr:nvCxnSpPr>
        <xdr:cNvPr id="204" name="Straight Arrow Connector 203"/>
        <xdr:cNvCxnSpPr/>
      </xdr:nvCxnSpPr>
      <xdr:spPr>
        <a:xfrm flipH="1">
          <a:off x="14563726" y="26639746"/>
          <a:ext cx="423862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</xdr:colOff>
      <xdr:row>125</xdr:row>
      <xdr:rowOff>9525</xdr:rowOff>
    </xdr:from>
    <xdr:to>
      <xdr:col>19</xdr:col>
      <xdr:colOff>14287</xdr:colOff>
      <xdr:row>138</xdr:row>
      <xdr:rowOff>180975</xdr:rowOff>
    </xdr:to>
    <xdr:cxnSp macro="">
      <xdr:nvCxnSpPr>
        <xdr:cNvPr id="205" name="Straight Arrow Connector 204"/>
        <xdr:cNvCxnSpPr/>
      </xdr:nvCxnSpPr>
      <xdr:spPr>
        <a:xfrm>
          <a:off x="13501687" y="23822025"/>
          <a:ext cx="0" cy="2647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152402</xdr:colOff>
      <xdr:row>141</xdr:row>
      <xdr:rowOff>85725</xdr:rowOff>
    </xdr:from>
    <xdr:to>
      <xdr:col>17</xdr:col>
      <xdr:colOff>464820</xdr:colOff>
      <xdr:row>141</xdr:row>
      <xdr:rowOff>85725</xdr:rowOff>
    </xdr:to>
    <xdr:cxnSp macro="">
      <xdr:nvCxnSpPr>
        <xdr:cNvPr id="206" name="Straight Arrow Connector 205"/>
        <xdr:cNvCxnSpPr/>
      </xdr:nvCxnSpPr>
      <xdr:spPr>
        <a:xfrm flipH="1">
          <a:off x="9326882" y="26946225"/>
          <a:ext cx="3059428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647700</xdr:colOff>
      <xdr:row>141</xdr:row>
      <xdr:rowOff>76202</xdr:rowOff>
    </xdr:from>
    <xdr:to>
      <xdr:col>12</xdr:col>
      <xdr:colOff>447678</xdr:colOff>
      <xdr:row>141</xdr:row>
      <xdr:rowOff>76203</xdr:rowOff>
    </xdr:to>
    <xdr:cxnSp macro="">
      <xdr:nvCxnSpPr>
        <xdr:cNvPr id="207" name="Straight Arrow Connector 206"/>
        <xdr:cNvCxnSpPr/>
      </xdr:nvCxnSpPr>
      <xdr:spPr>
        <a:xfrm flipH="1" flipV="1">
          <a:off x="5676900" y="11887202"/>
          <a:ext cx="3848103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666750</xdr:colOff>
      <xdr:row>84</xdr:row>
      <xdr:rowOff>19051</xdr:rowOff>
    </xdr:from>
    <xdr:to>
      <xdr:col>8</xdr:col>
      <xdr:colOff>0</xdr:colOff>
      <xdr:row>84</xdr:row>
      <xdr:rowOff>19051</xdr:rowOff>
    </xdr:to>
    <xdr:cxnSp macro="">
      <xdr:nvCxnSpPr>
        <xdr:cNvPr id="208" name="Straight Arrow Connector 207"/>
        <xdr:cNvCxnSpPr/>
      </xdr:nvCxnSpPr>
      <xdr:spPr>
        <a:xfrm>
          <a:off x="5695950" y="971551"/>
          <a:ext cx="7239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666750</xdr:colOff>
      <xdr:row>84</xdr:row>
      <xdr:rowOff>9527</xdr:rowOff>
    </xdr:from>
    <xdr:to>
      <xdr:col>6</xdr:col>
      <xdr:colOff>666750</xdr:colOff>
      <xdr:row>123</xdr:row>
      <xdr:rowOff>142875</xdr:rowOff>
    </xdr:to>
    <xdr:cxnSp macro="">
      <xdr:nvCxnSpPr>
        <xdr:cNvPr id="209" name="Straight Arrow Connector 208"/>
        <xdr:cNvCxnSpPr>
          <a:stCxn id="210" idx="0"/>
        </xdr:cNvCxnSpPr>
      </xdr:nvCxnSpPr>
      <xdr:spPr>
        <a:xfrm flipV="1">
          <a:off x="5695950" y="962027"/>
          <a:ext cx="0" cy="756284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123</xdr:row>
      <xdr:rowOff>142875</xdr:rowOff>
    </xdr:from>
    <xdr:to>
      <xdr:col>7</xdr:col>
      <xdr:colOff>114300</xdr:colOff>
      <xdr:row>128</xdr:row>
      <xdr:rowOff>104775</xdr:rowOff>
    </xdr:to>
    <xdr:sp macro="" textlink="">
      <xdr:nvSpPr>
        <xdr:cNvPr id="210" name="Rounded Rectangle 209"/>
        <xdr:cNvSpPr/>
      </xdr:nvSpPr>
      <xdr:spPr>
        <a:xfrm>
          <a:off x="5572125" y="8524875"/>
          <a:ext cx="2476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 anchorCtr="1"/>
        <a:lstStyle/>
        <a:p>
          <a:pPr algn="l"/>
          <a:r>
            <a:rPr lang="en-US" sz="1100"/>
            <a:t>HP Heater</a:t>
          </a:r>
        </a:p>
      </xdr:txBody>
    </xdr:sp>
    <xdr:clientData/>
  </xdr:twoCellAnchor>
  <xdr:twoCellAnchor>
    <xdr:from>
      <xdr:col>6</xdr:col>
      <xdr:colOff>666750</xdr:colOff>
      <xdr:row>128</xdr:row>
      <xdr:rowOff>104775</xdr:rowOff>
    </xdr:from>
    <xdr:to>
      <xdr:col>6</xdr:col>
      <xdr:colOff>666750</xdr:colOff>
      <xdr:row>141</xdr:row>
      <xdr:rowOff>76200</xdr:rowOff>
    </xdr:to>
    <xdr:cxnSp macro="">
      <xdr:nvCxnSpPr>
        <xdr:cNvPr id="211" name="Straight Arrow Connector 210"/>
        <xdr:cNvCxnSpPr>
          <a:endCxn id="210" idx="2"/>
        </xdr:cNvCxnSpPr>
      </xdr:nvCxnSpPr>
      <xdr:spPr>
        <a:xfrm flipV="1">
          <a:off x="5695950" y="9439275"/>
          <a:ext cx="0" cy="24479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563426</xdr:colOff>
      <xdr:row>117</xdr:row>
      <xdr:rowOff>57150</xdr:rowOff>
    </xdr:from>
    <xdr:to>
      <xdr:col>21</xdr:col>
      <xdr:colOff>563426</xdr:colOff>
      <xdr:row>124</xdr:row>
      <xdr:rowOff>123265</xdr:rowOff>
    </xdr:to>
    <xdr:cxnSp macro="">
      <xdr:nvCxnSpPr>
        <xdr:cNvPr id="212" name="Straight Arrow Connector 211"/>
        <xdr:cNvCxnSpPr/>
      </xdr:nvCxnSpPr>
      <xdr:spPr>
        <a:xfrm>
          <a:off x="15403376" y="22345650"/>
          <a:ext cx="0" cy="1399615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7</xdr:col>
      <xdr:colOff>123827</xdr:colOff>
      <xdr:row>124</xdr:row>
      <xdr:rowOff>114302</xdr:rowOff>
    </xdr:from>
    <xdr:to>
      <xdr:col>21</xdr:col>
      <xdr:colOff>552450</xdr:colOff>
      <xdr:row>124</xdr:row>
      <xdr:rowOff>114302</xdr:rowOff>
    </xdr:to>
    <xdr:cxnSp macro="">
      <xdr:nvCxnSpPr>
        <xdr:cNvPr id="213" name="Straight Arrow Connector 212"/>
        <xdr:cNvCxnSpPr/>
      </xdr:nvCxnSpPr>
      <xdr:spPr>
        <a:xfrm flipH="1">
          <a:off x="5219702" y="23736302"/>
          <a:ext cx="1017269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7</xdr:col>
      <xdr:colOff>123825</xdr:colOff>
      <xdr:row>127</xdr:row>
      <xdr:rowOff>180975</xdr:rowOff>
    </xdr:from>
    <xdr:to>
      <xdr:col>18</xdr:col>
      <xdr:colOff>392206</xdr:colOff>
      <xdr:row>127</xdr:row>
      <xdr:rowOff>180975</xdr:rowOff>
    </xdr:to>
    <xdr:cxnSp macro="">
      <xdr:nvCxnSpPr>
        <xdr:cNvPr id="214" name="Straight Arrow Connector 213"/>
        <xdr:cNvCxnSpPr/>
      </xdr:nvCxnSpPr>
      <xdr:spPr>
        <a:xfrm>
          <a:off x="5219700" y="24374475"/>
          <a:ext cx="7964581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18</xdr:col>
      <xdr:colOff>376237</xdr:colOff>
      <xdr:row>127</xdr:row>
      <xdr:rowOff>180975</xdr:rowOff>
    </xdr:from>
    <xdr:to>
      <xdr:col>18</xdr:col>
      <xdr:colOff>376237</xdr:colOff>
      <xdr:row>138</xdr:row>
      <xdr:rowOff>180975</xdr:rowOff>
    </xdr:to>
    <xdr:cxnSp macro="">
      <xdr:nvCxnSpPr>
        <xdr:cNvPr id="215" name="Straight Arrow Connector 214"/>
        <xdr:cNvCxnSpPr/>
      </xdr:nvCxnSpPr>
      <xdr:spPr>
        <a:xfrm>
          <a:off x="13635037" y="9324975"/>
          <a:ext cx="0" cy="20955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10</xdr:col>
      <xdr:colOff>9525</xdr:colOff>
      <xdr:row>84</xdr:row>
      <xdr:rowOff>19050</xdr:rowOff>
    </xdr:from>
    <xdr:to>
      <xdr:col>11</xdr:col>
      <xdr:colOff>9525</xdr:colOff>
      <xdr:row>84</xdr:row>
      <xdr:rowOff>19051</xdr:rowOff>
    </xdr:to>
    <xdr:cxnSp macro="">
      <xdr:nvCxnSpPr>
        <xdr:cNvPr id="217" name="Straight Arrow Connector 216"/>
        <xdr:cNvCxnSpPr/>
      </xdr:nvCxnSpPr>
      <xdr:spPr>
        <a:xfrm flipV="1">
          <a:off x="7772400" y="971550"/>
          <a:ext cx="619125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128</xdr:row>
      <xdr:rowOff>38100</xdr:rowOff>
    </xdr:from>
    <xdr:to>
      <xdr:col>12</xdr:col>
      <xdr:colOff>9525</xdr:colOff>
      <xdr:row>136</xdr:row>
      <xdr:rowOff>180975</xdr:rowOff>
    </xdr:to>
    <xdr:cxnSp macro="">
      <xdr:nvCxnSpPr>
        <xdr:cNvPr id="218" name="Straight Arrow Connector 217"/>
        <xdr:cNvCxnSpPr/>
      </xdr:nvCxnSpPr>
      <xdr:spPr>
        <a:xfrm>
          <a:off x="9086850" y="9372600"/>
          <a:ext cx="0" cy="16668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595477</xdr:colOff>
      <xdr:row>83</xdr:row>
      <xdr:rowOff>47625</xdr:rowOff>
    </xdr:from>
    <xdr:to>
      <xdr:col>16</xdr:col>
      <xdr:colOff>600056</xdr:colOff>
      <xdr:row>96</xdr:row>
      <xdr:rowOff>114300</xdr:rowOff>
    </xdr:to>
    <xdr:cxnSp macro="">
      <xdr:nvCxnSpPr>
        <xdr:cNvPr id="219" name="Straight Arrow Connector 218"/>
        <xdr:cNvCxnSpPr>
          <a:endCxn id="173" idx="0"/>
        </xdr:cNvCxnSpPr>
      </xdr:nvCxnSpPr>
      <xdr:spPr>
        <a:xfrm>
          <a:off x="12501727" y="809625"/>
          <a:ext cx="4579" cy="25431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116</xdr:row>
      <xdr:rowOff>152400</xdr:rowOff>
    </xdr:from>
    <xdr:to>
      <xdr:col>30</xdr:col>
      <xdr:colOff>600075</xdr:colOff>
      <xdr:row>116</xdr:row>
      <xdr:rowOff>152400</xdr:rowOff>
    </xdr:to>
    <xdr:cxnSp macro="">
      <xdr:nvCxnSpPr>
        <xdr:cNvPr id="220" name="Straight Arrow Connector 219"/>
        <xdr:cNvCxnSpPr/>
      </xdr:nvCxnSpPr>
      <xdr:spPr>
        <a:xfrm>
          <a:off x="9867900" y="22250400"/>
          <a:ext cx="11315700" cy="0"/>
        </a:xfrm>
        <a:prstGeom prst="straightConnector1">
          <a:avLst/>
        </a:prstGeom>
        <a:ln w="38100"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595477</xdr:colOff>
      <xdr:row>115</xdr:row>
      <xdr:rowOff>57150</xdr:rowOff>
    </xdr:from>
    <xdr:to>
      <xdr:col>30</xdr:col>
      <xdr:colOff>595477</xdr:colOff>
      <xdr:row>116</xdr:row>
      <xdr:rowOff>153133</xdr:rowOff>
    </xdr:to>
    <xdr:cxnSp macro="">
      <xdr:nvCxnSpPr>
        <xdr:cNvPr id="221" name="Straight Arrow Connector 220"/>
        <xdr:cNvCxnSpPr/>
      </xdr:nvCxnSpPr>
      <xdr:spPr>
        <a:xfrm flipV="1">
          <a:off x="19283527" y="6915150"/>
          <a:ext cx="0" cy="28648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595477</xdr:colOff>
      <xdr:row>106</xdr:row>
      <xdr:rowOff>47626</xdr:rowOff>
    </xdr:from>
    <xdr:to>
      <xdr:col>30</xdr:col>
      <xdr:colOff>595477</xdr:colOff>
      <xdr:row>107</xdr:row>
      <xdr:rowOff>171450</xdr:rowOff>
    </xdr:to>
    <xdr:cxnSp macro="">
      <xdr:nvCxnSpPr>
        <xdr:cNvPr id="222" name="Straight Arrow Connector 221"/>
        <xdr:cNvCxnSpPr/>
      </xdr:nvCxnSpPr>
      <xdr:spPr>
        <a:xfrm flipV="1">
          <a:off x="19283527" y="5191126"/>
          <a:ext cx="0" cy="3143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739140</xdr:colOff>
      <xdr:row>136</xdr:row>
      <xdr:rowOff>171450</xdr:rowOff>
    </xdr:from>
    <xdr:to>
      <xdr:col>30</xdr:col>
      <xdr:colOff>647700</xdr:colOff>
      <xdr:row>136</xdr:row>
      <xdr:rowOff>171450</xdr:rowOff>
    </xdr:to>
    <xdr:cxnSp macro="">
      <xdr:nvCxnSpPr>
        <xdr:cNvPr id="223" name="Straight Arrow Connector 222"/>
        <xdr:cNvCxnSpPr/>
      </xdr:nvCxnSpPr>
      <xdr:spPr>
        <a:xfrm flipH="1">
          <a:off x="14226540" y="26079450"/>
          <a:ext cx="7004685" cy="0"/>
        </a:xfrm>
        <a:prstGeom prst="straightConnector1">
          <a:avLst/>
        </a:prstGeom>
        <a:ln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19</xdr:col>
      <xdr:colOff>737946</xdr:colOff>
      <xdr:row>136</xdr:row>
      <xdr:rowOff>175260</xdr:rowOff>
    </xdr:from>
    <xdr:to>
      <xdr:col>19</xdr:col>
      <xdr:colOff>737946</xdr:colOff>
      <xdr:row>138</xdr:row>
      <xdr:rowOff>181535</xdr:rowOff>
    </xdr:to>
    <xdr:cxnSp macro="">
      <xdr:nvCxnSpPr>
        <xdr:cNvPr id="225" name="Straight Arrow Connector 224"/>
        <xdr:cNvCxnSpPr/>
      </xdr:nvCxnSpPr>
      <xdr:spPr>
        <a:xfrm>
          <a:off x="14244396" y="26083260"/>
          <a:ext cx="0" cy="3872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24</xdr:col>
      <xdr:colOff>649147</xdr:colOff>
      <xdr:row>124</xdr:row>
      <xdr:rowOff>168736</xdr:rowOff>
    </xdr:from>
    <xdr:to>
      <xdr:col>24</xdr:col>
      <xdr:colOff>649147</xdr:colOff>
      <xdr:row>128</xdr:row>
      <xdr:rowOff>0</xdr:rowOff>
    </xdr:to>
    <xdr:cxnSp macro="">
      <xdr:nvCxnSpPr>
        <xdr:cNvPr id="226" name="Straight Arrow Connector 225"/>
        <xdr:cNvCxnSpPr/>
      </xdr:nvCxnSpPr>
      <xdr:spPr>
        <a:xfrm flipV="1">
          <a:off x="17310277" y="23790736"/>
          <a:ext cx="0" cy="593264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19</xdr:col>
      <xdr:colOff>371475</xdr:colOff>
      <xdr:row>127</xdr:row>
      <xdr:rowOff>186017</xdr:rowOff>
    </xdr:from>
    <xdr:to>
      <xdr:col>24</xdr:col>
      <xdr:colOff>647700</xdr:colOff>
      <xdr:row>127</xdr:row>
      <xdr:rowOff>186017</xdr:rowOff>
    </xdr:to>
    <xdr:cxnSp macro="">
      <xdr:nvCxnSpPr>
        <xdr:cNvPr id="227" name="Straight Arrow Connector 226"/>
        <xdr:cNvCxnSpPr/>
      </xdr:nvCxnSpPr>
      <xdr:spPr>
        <a:xfrm>
          <a:off x="13877925" y="24379517"/>
          <a:ext cx="3430905" cy="0"/>
        </a:xfrm>
        <a:prstGeom prst="straightConnector1">
          <a:avLst/>
        </a:prstGeom>
        <a:ln>
          <a:headEnd type="none"/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24</xdr:col>
      <xdr:colOff>592883</xdr:colOff>
      <xdr:row>124</xdr:row>
      <xdr:rowOff>38100</xdr:rowOff>
    </xdr:from>
    <xdr:to>
      <xdr:col>24</xdr:col>
      <xdr:colOff>720186</xdr:colOff>
      <xdr:row>124</xdr:row>
      <xdr:rowOff>161924</xdr:rowOff>
    </xdr:to>
    <xdr:sp macro="" textlink="">
      <xdr:nvSpPr>
        <xdr:cNvPr id="228" name="Pentagon 227"/>
        <xdr:cNvSpPr/>
      </xdr:nvSpPr>
      <xdr:spPr>
        <a:xfrm rot="16200000">
          <a:off x="17247111" y="23658360"/>
          <a:ext cx="123824" cy="127303"/>
        </a:xfrm>
        <a:prstGeom prst="homePlate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 anchorCtr="0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439601</xdr:colOff>
      <xdr:row>127</xdr:row>
      <xdr:rowOff>95250</xdr:rowOff>
    </xdr:from>
    <xdr:to>
      <xdr:col>27</xdr:col>
      <xdr:colOff>514350</xdr:colOff>
      <xdr:row>129</xdr:row>
      <xdr:rowOff>95250</xdr:rowOff>
    </xdr:to>
    <xdr:grpSp>
      <xdr:nvGrpSpPr>
        <xdr:cNvPr id="229" name="Group 228"/>
        <xdr:cNvGrpSpPr/>
      </xdr:nvGrpSpPr>
      <xdr:grpSpPr>
        <a:xfrm>
          <a:off x="18565676" y="24288750"/>
          <a:ext cx="770074" cy="381000"/>
          <a:chOff x="17584601" y="9429750"/>
          <a:chExt cx="770074" cy="381000"/>
        </a:xfrm>
      </xdr:grpSpPr>
      <xdr:sp macro="" textlink="">
        <xdr:nvSpPr>
          <xdr:cNvPr id="230" name="Flowchart: Connector 229"/>
          <xdr:cNvSpPr/>
        </xdr:nvSpPr>
        <xdr:spPr>
          <a:xfrm>
            <a:off x="17584601" y="9429750"/>
            <a:ext cx="381000" cy="381000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231" name="Straight Arrow Connector 230"/>
          <xdr:cNvCxnSpPr/>
        </xdr:nvCxnSpPr>
        <xdr:spPr>
          <a:xfrm>
            <a:off x="17649825" y="9484564"/>
            <a:ext cx="704850" cy="0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" name="Straight Arrow Connector 231"/>
          <xdr:cNvCxnSpPr/>
        </xdr:nvCxnSpPr>
        <xdr:spPr>
          <a:xfrm>
            <a:off x="17649825" y="9750565"/>
            <a:ext cx="685800" cy="0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" name="Straight Arrow Connector 232"/>
          <xdr:cNvCxnSpPr>
            <a:stCxn id="230" idx="3"/>
          </xdr:cNvCxnSpPr>
        </xdr:nvCxnSpPr>
        <xdr:spPr>
          <a:xfrm flipV="1">
            <a:off x="17640261" y="9610398"/>
            <a:ext cx="142914" cy="144556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" name="Straight Arrow Connector 233"/>
          <xdr:cNvCxnSpPr>
            <a:endCxn id="230" idx="1"/>
          </xdr:cNvCxnSpPr>
        </xdr:nvCxnSpPr>
        <xdr:spPr>
          <a:xfrm flipH="1" flipV="1">
            <a:off x="17640261" y="9485546"/>
            <a:ext cx="142914" cy="127734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468176</xdr:colOff>
      <xdr:row>140</xdr:row>
      <xdr:rowOff>115751</xdr:rowOff>
    </xdr:from>
    <xdr:to>
      <xdr:col>13</xdr:col>
      <xdr:colOff>152400</xdr:colOff>
      <xdr:row>142</xdr:row>
      <xdr:rowOff>28575</xdr:rowOff>
    </xdr:to>
    <xdr:grpSp>
      <xdr:nvGrpSpPr>
        <xdr:cNvPr id="236" name="Group 235"/>
        <xdr:cNvGrpSpPr/>
      </xdr:nvGrpSpPr>
      <xdr:grpSpPr>
        <a:xfrm>
          <a:off x="8935901" y="26785751"/>
          <a:ext cx="379549" cy="293824"/>
          <a:chOff x="9459776" y="10212251"/>
          <a:chExt cx="379549" cy="293824"/>
        </a:xfrm>
      </xdr:grpSpPr>
      <xdr:sp macro="" textlink="">
        <xdr:nvSpPr>
          <xdr:cNvPr id="240" name="Flowchart: Connector 239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243" name="Straight Arrow Connector 242"/>
          <xdr:cNvCxnSpPr>
            <a:stCxn id="240" idx="2"/>
            <a:endCxn id="240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" name="Straight Arrow Connector 243"/>
          <xdr:cNvCxnSpPr>
            <a:stCxn id="240" idx="2"/>
            <a:endCxn id="240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476250</xdr:colOff>
      <xdr:row>101</xdr:row>
      <xdr:rowOff>9525</xdr:rowOff>
    </xdr:from>
    <xdr:to>
      <xdr:col>11</xdr:col>
      <xdr:colOff>152400</xdr:colOff>
      <xdr:row>104</xdr:row>
      <xdr:rowOff>19050</xdr:rowOff>
    </xdr:to>
    <xdr:sp macro="" textlink="">
      <xdr:nvSpPr>
        <xdr:cNvPr id="245" name="Rectangle 244"/>
        <xdr:cNvSpPr/>
      </xdr:nvSpPr>
      <xdr:spPr>
        <a:xfrm>
          <a:off x="8239125" y="4200525"/>
          <a:ext cx="29527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800"/>
            <a:t>BD FT</a:t>
          </a:r>
        </a:p>
      </xdr:txBody>
    </xdr:sp>
    <xdr:clientData/>
  </xdr:twoCellAnchor>
  <xdr:twoCellAnchor>
    <xdr:from>
      <xdr:col>11</xdr:col>
      <xdr:colOff>0</xdr:colOff>
      <xdr:row>84</xdr:row>
      <xdr:rowOff>15420</xdr:rowOff>
    </xdr:from>
    <xdr:to>
      <xdr:col>11</xdr:col>
      <xdr:colOff>1</xdr:colOff>
      <xdr:row>101</xdr:row>
      <xdr:rowOff>0</xdr:rowOff>
    </xdr:to>
    <xdr:cxnSp macro="">
      <xdr:nvCxnSpPr>
        <xdr:cNvPr id="246" name="Straight Arrow Connector 245"/>
        <xdr:cNvCxnSpPr/>
      </xdr:nvCxnSpPr>
      <xdr:spPr>
        <a:xfrm flipH="1">
          <a:off x="8382000" y="967920"/>
          <a:ext cx="1" cy="322308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101</xdr:row>
      <xdr:rowOff>95251</xdr:rowOff>
    </xdr:from>
    <xdr:to>
      <xdr:col>12</xdr:col>
      <xdr:colOff>19050</xdr:colOff>
      <xdr:row>101</xdr:row>
      <xdr:rowOff>95251</xdr:rowOff>
    </xdr:to>
    <xdr:cxnSp macro="">
      <xdr:nvCxnSpPr>
        <xdr:cNvPr id="247" name="Straight Arrow Connector 246"/>
        <xdr:cNvCxnSpPr/>
      </xdr:nvCxnSpPr>
      <xdr:spPr>
        <a:xfrm>
          <a:off x="8534400" y="4286251"/>
          <a:ext cx="5619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101</xdr:row>
      <xdr:rowOff>90621</xdr:rowOff>
    </xdr:from>
    <xdr:to>
      <xdr:col>12</xdr:col>
      <xdr:colOff>9525</xdr:colOff>
      <xdr:row>124</xdr:row>
      <xdr:rowOff>38100</xdr:rowOff>
    </xdr:to>
    <xdr:cxnSp macro="">
      <xdr:nvCxnSpPr>
        <xdr:cNvPr id="248" name="Straight Arrow Connector 247"/>
        <xdr:cNvCxnSpPr/>
      </xdr:nvCxnSpPr>
      <xdr:spPr>
        <a:xfrm>
          <a:off x="9086850" y="4281621"/>
          <a:ext cx="0" cy="432897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124</xdr:row>
      <xdr:rowOff>171450</xdr:rowOff>
    </xdr:from>
    <xdr:to>
      <xdr:col>12</xdr:col>
      <xdr:colOff>9525</xdr:colOff>
      <xdr:row>127</xdr:row>
      <xdr:rowOff>123825</xdr:rowOff>
    </xdr:to>
    <xdr:cxnSp macro="">
      <xdr:nvCxnSpPr>
        <xdr:cNvPr id="249" name="Straight Arrow Connector 248"/>
        <xdr:cNvCxnSpPr/>
      </xdr:nvCxnSpPr>
      <xdr:spPr>
        <a:xfrm>
          <a:off x="9086850" y="8743950"/>
          <a:ext cx="0" cy="5238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136</xdr:row>
      <xdr:rowOff>171450</xdr:rowOff>
    </xdr:from>
    <xdr:to>
      <xdr:col>18</xdr:col>
      <xdr:colOff>28575</xdr:colOff>
      <xdr:row>136</xdr:row>
      <xdr:rowOff>171450</xdr:rowOff>
    </xdr:to>
    <xdr:cxnSp macro="">
      <xdr:nvCxnSpPr>
        <xdr:cNvPr id="250" name="Straight Arrow Connector 249"/>
        <xdr:cNvCxnSpPr/>
      </xdr:nvCxnSpPr>
      <xdr:spPr>
        <a:xfrm>
          <a:off x="9096375" y="11029950"/>
          <a:ext cx="4191000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28575</xdr:colOff>
      <xdr:row>136</xdr:row>
      <xdr:rowOff>171450</xdr:rowOff>
    </xdr:from>
    <xdr:to>
      <xdr:col>18</xdr:col>
      <xdr:colOff>28575</xdr:colOff>
      <xdr:row>138</xdr:row>
      <xdr:rowOff>180975</xdr:rowOff>
    </xdr:to>
    <xdr:cxnSp macro="">
      <xdr:nvCxnSpPr>
        <xdr:cNvPr id="251" name="Straight Arrow Connector 250"/>
        <xdr:cNvCxnSpPr/>
      </xdr:nvCxnSpPr>
      <xdr:spPr>
        <a:xfrm>
          <a:off x="13287375" y="11029950"/>
          <a:ext cx="0" cy="390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19050</xdr:colOff>
      <xdr:row>97</xdr:row>
      <xdr:rowOff>19050</xdr:rowOff>
    </xdr:from>
    <xdr:to>
      <xdr:col>30</xdr:col>
      <xdr:colOff>628650</xdr:colOff>
      <xdr:row>97</xdr:row>
      <xdr:rowOff>19050</xdr:rowOff>
    </xdr:to>
    <xdr:cxnSp macro="">
      <xdr:nvCxnSpPr>
        <xdr:cNvPr id="254" name="Straight Arrow Connector 253"/>
        <xdr:cNvCxnSpPr/>
      </xdr:nvCxnSpPr>
      <xdr:spPr>
        <a:xfrm>
          <a:off x="20602575" y="18497550"/>
          <a:ext cx="609600" cy="0"/>
        </a:xfrm>
        <a:prstGeom prst="straightConnector1">
          <a:avLst/>
        </a:prstGeom>
        <a:ln>
          <a:prstDash val="dash"/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638175</xdr:colOff>
      <xdr:row>93</xdr:row>
      <xdr:rowOff>104775</xdr:rowOff>
    </xdr:from>
    <xdr:to>
      <xdr:col>30</xdr:col>
      <xdr:colOff>638175</xdr:colOff>
      <xdr:row>100</xdr:row>
      <xdr:rowOff>123825</xdr:rowOff>
    </xdr:to>
    <xdr:cxnSp macro="">
      <xdr:nvCxnSpPr>
        <xdr:cNvPr id="255" name="Straight Arrow Connector 254"/>
        <xdr:cNvCxnSpPr/>
      </xdr:nvCxnSpPr>
      <xdr:spPr>
        <a:xfrm>
          <a:off x="19326225" y="2771775"/>
          <a:ext cx="0" cy="1352550"/>
        </a:xfrm>
        <a:prstGeom prst="straightConnector1">
          <a:avLst/>
        </a:prstGeom>
        <a:ln>
          <a:prstDash val="dash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76200</xdr:colOff>
      <xdr:row>111</xdr:row>
      <xdr:rowOff>9525</xdr:rowOff>
    </xdr:from>
    <xdr:to>
      <xdr:col>31</xdr:col>
      <xdr:colOff>0</xdr:colOff>
      <xdr:row>111</xdr:row>
      <xdr:rowOff>13666</xdr:rowOff>
    </xdr:to>
    <xdr:cxnSp macro="">
      <xdr:nvCxnSpPr>
        <xdr:cNvPr id="261" name="Straight Arrow Connector 260"/>
        <xdr:cNvCxnSpPr/>
      </xdr:nvCxnSpPr>
      <xdr:spPr>
        <a:xfrm>
          <a:off x="18764250" y="6105525"/>
          <a:ext cx="600075" cy="414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76238</xdr:colOff>
      <xdr:row>107</xdr:row>
      <xdr:rowOff>161925</xdr:rowOff>
    </xdr:from>
    <xdr:to>
      <xdr:col>30</xdr:col>
      <xdr:colOff>76238</xdr:colOff>
      <xdr:row>111</xdr:row>
      <xdr:rowOff>19050</xdr:rowOff>
    </xdr:to>
    <xdr:cxnSp macro="">
      <xdr:nvCxnSpPr>
        <xdr:cNvPr id="263" name="Straight Arrow Connector 262"/>
        <xdr:cNvCxnSpPr/>
      </xdr:nvCxnSpPr>
      <xdr:spPr>
        <a:xfrm>
          <a:off x="18764288" y="5495925"/>
          <a:ext cx="0" cy="6191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38100</xdr:colOff>
      <xdr:row>139</xdr:row>
      <xdr:rowOff>119342</xdr:rowOff>
    </xdr:from>
    <xdr:to>
      <xdr:col>17</xdr:col>
      <xdr:colOff>514350</xdr:colOff>
      <xdr:row>139</xdr:row>
      <xdr:rowOff>119342</xdr:rowOff>
    </xdr:to>
    <xdr:cxnSp macro="">
      <xdr:nvCxnSpPr>
        <xdr:cNvPr id="266" name="Straight Arrow Connector 265"/>
        <xdr:cNvCxnSpPr/>
      </xdr:nvCxnSpPr>
      <xdr:spPr>
        <a:xfrm>
          <a:off x="11944350" y="11549342"/>
          <a:ext cx="1085850" cy="0"/>
        </a:xfrm>
        <a:prstGeom prst="straightConnector1">
          <a:avLst/>
        </a:prstGeom>
        <a:ln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34062</xdr:colOff>
      <xdr:row>104</xdr:row>
      <xdr:rowOff>123825</xdr:rowOff>
    </xdr:from>
    <xdr:to>
      <xdr:col>16</xdr:col>
      <xdr:colOff>34062</xdr:colOff>
      <xdr:row>116</xdr:row>
      <xdr:rowOff>66676</xdr:rowOff>
    </xdr:to>
    <xdr:cxnSp macro="">
      <xdr:nvCxnSpPr>
        <xdr:cNvPr id="267" name="Straight Arrow Connector 266"/>
        <xdr:cNvCxnSpPr/>
      </xdr:nvCxnSpPr>
      <xdr:spPr>
        <a:xfrm flipV="1">
          <a:off x="11940312" y="4886325"/>
          <a:ext cx="0" cy="222885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137</xdr:row>
      <xdr:rowOff>33618</xdr:rowOff>
    </xdr:from>
    <xdr:to>
      <xdr:col>16</xdr:col>
      <xdr:colOff>34738</xdr:colOff>
      <xdr:row>139</xdr:row>
      <xdr:rowOff>123825</xdr:rowOff>
    </xdr:to>
    <xdr:cxnSp macro="">
      <xdr:nvCxnSpPr>
        <xdr:cNvPr id="268" name="Straight Arrow Connector 267"/>
        <xdr:cNvCxnSpPr/>
      </xdr:nvCxnSpPr>
      <xdr:spPr>
        <a:xfrm>
          <a:off x="11331388" y="26132118"/>
          <a:ext cx="0" cy="471207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128</xdr:row>
      <xdr:rowOff>47625</xdr:rowOff>
    </xdr:from>
    <xdr:to>
      <xdr:col>16</xdr:col>
      <xdr:colOff>34738</xdr:colOff>
      <xdr:row>136</xdr:row>
      <xdr:rowOff>95250</xdr:rowOff>
    </xdr:to>
    <xdr:cxnSp macro="">
      <xdr:nvCxnSpPr>
        <xdr:cNvPr id="269" name="Straight Arrow Connector 268"/>
        <xdr:cNvCxnSpPr/>
      </xdr:nvCxnSpPr>
      <xdr:spPr>
        <a:xfrm>
          <a:off x="11940988" y="9382125"/>
          <a:ext cx="0" cy="15716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124</xdr:row>
      <xdr:rowOff>171450</xdr:rowOff>
    </xdr:from>
    <xdr:to>
      <xdr:col>16</xdr:col>
      <xdr:colOff>34738</xdr:colOff>
      <xdr:row>127</xdr:row>
      <xdr:rowOff>123825</xdr:rowOff>
    </xdr:to>
    <xdr:cxnSp macro="">
      <xdr:nvCxnSpPr>
        <xdr:cNvPr id="271" name="Straight Arrow Connector 270"/>
        <xdr:cNvCxnSpPr/>
      </xdr:nvCxnSpPr>
      <xdr:spPr>
        <a:xfrm>
          <a:off x="11940988" y="8743950"/>
          <a:ext cx="0" cy="5238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117</xdr:row>
      <xdr:rowOff>28575</xdr:rowOff>
    </xdr:from>
    <xdr:to>
      <xdr:col>16</xdr:col>
      <xdr:colOff>34738</xdr:colOff>
      <xdr:row>124</xdr:row>
      <xdr:rowOff>57150</xdr:rowOff>
    </xdr:to>
    <xdr:cxnSp macro="">
      <xdr:nvCxnSpPr>
        <xdr:cNvPr id="272" name="Straight Arrow Connector 271"/>
        <xdr:cNvCxnSpPr/>
      </xdr:nvCxnSpPr>
      <xdr:spPr>
        <a:xfrm>
          <a:off x="11940988" y="7267575"/>
          <a:ext cx="0" cy="13620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535730</xdr:colOff>
      <xdr:row>104</xdr:row>
      <xdr:rowOff>11980</xdr:rowOff>
    </xdr:from>
    <xdr:to>
      <xdr:col>17</xdr:col>
      <xdr:colOff>57713</xdr:colOff>
      <xdr:row>104</xdr:row>
      <xdr:rowOff>168735</xdr:rowOff>
    </xdr:to>
    <xdr:sp macro="" textlink="">
      <xdr:nvSpPr>
        <xdr:cNvPr id="273" name="Pentagon 272"/>
        <xdr:cNvSpPr/>
      </xdr:nvSpPr>
      <xdr:spPr>
        <a:xfrm rot="16200000">
          <a:off x="12429394" y="4787066"/>
          <a:ext cx="156755" cy="131583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47625</xdr:colOff>
      <xdr:row>104</xdr:row>
      <xdr:rowOff>123253</xdr:rowOff>
    </xdr:from>
    <xdr:to>
      <xdr:col>16</xdr:col>
      <xdr:colOff>535730</xdr:colOff>
      <xdr:row>104</xdr:row>
      <xdr:rowOff>123253</xdr:rowOff>
    </xdr:to>
    <xdr:cxnSp macro="">
      <xdr:nvCxnSpPr>
        <xdr:cNvPr id="274" name="Straight Arrow Connector 273"/>
        <xdr:cNvCxnSpPr>
          <a:endCxn id="273" idx="0"/>
        </xdr:cNvCxnSpPr>
      </xdr:nvCxnSpPr>
      <xdr:spPr>
        <a:xfrm>
          <a:off x="11953875" y="4885753"/>
          <a:ext cx="4881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334826</xdr:colOff>
      <xdr:row>139</xdr:row>
      <xdr:rowOff>68421</xdr:rowOff>
    </xdr:from>
    <xdr:to>
      <xdr:col>16</xdr:col>
      <xdr:colOff>504825</xdr:colOff>
      <xdr:row>140</xdr:row>
      <xdr:rowOff>9524</xdr:rowOff>
    </xdr:to>
    <xdr:grpSp>
      <xdr:nvGrpSpPr>
        <xdr:cNvPr id="275" name="Group 274"/>
        <xdr:cNvGrpSpPr/>
      </xdr:nvGrpSpPr>
      <xdr:grpSpPr>
        <a:xfrm>
          <a:off x="11631476" y="26547921"/>
          <a:ext cx="169999" cy="131603"/>
          <a:chOff x="9459776" y="10212251"/>
          <a:chExt cx="379549" cy="293824"/>
        </a:xfrm>
      </xdr:grpSpPr>
      <xdr:sp macro="" textlink="">
        <xdr:nvSpPr>
          <xdr:cNvPr id="276" name="Flowchart: Connector 275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277" name="Straight Arrow Connector 276"/>
          <xdr:cNvCxnSpPr>
            <a:stCxn id="276" idx="2"/>
            <a:endCxn id="276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" name="Straight Arrow Connector 277"/>
          <xdr:cNvCxnSpPr>
            <a:stCxn id="276" idx="2"/>
            <a:endCxn id="276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114300</xdr:colOff>
      <xdr:row>127</xdr:row>
      <xdr:rowOff>114301</xdr:rowOff>
    </xdr:from>
    <xdr:to>
      <xdr:col>20</xdr:col>
      <xdr:colOff>298858</xdr:colOff>
      <xdr:row>128</xdr:row>
      <xdr:rowOff>66675</xdr:rowOff>
    </xdr:to>
    <xdr:grpSp>
      <xdr:nvGrpSpPr>
        <xdr:cNvPr id="279" name="Group 278"/>
        <xdr:cNvGrpSpPr/>
      </xdr:nvGrpSpPr>
      <xdr:grpSpPr>
        <a:xfrm flipH="1">
          <a:off x="14344650" y="24307801"/>
          <a:ext cx="184558" cy="142874"/>
          <a:chOff x="9459776" y="10212251"/>
          <a:chExt cx="379549" cy="293824"/>
        </a:xfrm>
      </xdr:grpSpPr>
      <xdr:sp macro="" textlink="">
        <xdr:nvSpPr>
          <xdr:cNvPr id="280" name="Flowchart: Connector 279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281" name="Straight Arrow Connector 280"/>
          <xdr:cNvCxnSpPr>
            <a:stCxn id="280" idx="2"/>
            <a:endCxn id="280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</xdr:cxnSp>
      <xdr:cxnSp macro="">
        <xdr:nvCxnSpPr>
          <xdr:cNvPr id="282" name="Straight Arrow Connector 281"/>
          <xdr:cNvCxnSpPr>
            <a:stCxn id="280" idx="2"/>
            <a:endCxn id="280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</xdr:cxnSp>
    </xdr:grpSp>
    <xdr:clientData/>
  </xdr:twoCellAnchor>
  <xdr:twoCellAnchor>
    <xdr:from>
      <xdr:col>26</xdr:col>
      <xdr:colOff>504828</xdr:colOff>
      <xdr:row>129</xdr:row>
      <xdr:rowOff>171450</xdr:rowOff>
    </xdr:from>
    <xdr:to>
      <xdr:col>27</xdr:col>
      <xdr:colOff>55027</xdr:colOff>
      <xdr:row>130</xdr:row>
      <xdr:rowOff>172307</xdr:rowOff>
    </xdr:to>
    <xdr:grpSp>
      <xdr:nvGrpSpPr>
        <xdr:cNvPr id="283" name="Group 282"/>
        <xdr:cNvGrpSpPr/>
      </xdr:nvGrpSpPr>
      <xdr:grpSpPr>
        <a:xfrm rot="16200000">
          <a:off x="18657986" y="24718867"/>
          <a:ext cx="191357" cy="245524"/>
          <a:chOff x="9459776" y="10212251"/>
          <a:chExt cx="379549" cy="293824"/>
        </a:xfrm>
      </xdr:grpSpPr>
      <xdr:sp macro="" textlink="">
        <xdr:nvSpPr>
          <xdr:cNvPr id="284" name="Flowchart: Connector 283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285" name="Straight Arrow Connector 284"/>
          <xdr:cNvCxnSpPr>
            <a:stCxn id="284" idx="2"/>
            <a:endCxn id="284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" name="Straight Arrow Connector 285"/>
          <xdr:cNvCxnSpPr>
            <a:stCxn id="284" idx="2"/>
            <a:endCxn id="284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366471</xdr:colOff>
      <xdr:row>128</xdr:row>
      <xdr:rowOff>0</xdr:rowOff>
    </xdr:from>
    <xdr:to>
      <xdr:col>19</xdr:col>
      <xdr:colOff>366471</xdr:colOff>
      <xdr:row>138</xdr:row>
      <xdr:rowOff>181535</xdr:rowOff>
    </xdr:to>
    <xdr:cxnSp macro="">
      <xdr:nvCxnSpPr>
        <xdr:cNvPr id="287" name="Straight Arrow Connector 286"/>
        <xdr:cNvCxnSpPr/>
      </xdr:nvCxnSpPr>
      <xdr:spPr>
        <a:xfrm>
          <a:off x="14320596" y="9334500"/>
          <a:ext cx="0" cy="2086535"/>
        </a:xfrm>
        <a:prstGeom prst="straightConnector1">
          <a:avLst/>
        </a:prstGeom>
        <a:ln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20</xdr:col>
      <xdr:colOff>314326</xdr:colOff>
      <xdr:row>141</xdr:row>
      <xdr:rowOff>131671</xdr:rowOff>
    </xdr:from>
    <xdr:to>
      <xdr:col>31</xdr:col>
      <xdr:colOff>9525</xdr:colOff>
      <xdr:row>141</xdr:row>
      <xdr:rowOff>131671</xdr:rowOff>
    </xdr:to>
    <xdr:cxnSp macro="">
      <xdr:nvCxnSpPr>
        <xdr:cNvPr id="288" name="Straight Arrow Connector 287"/>
        <xdr:cNvCxnSpPr/>
      </xdr:nvCxnSpPr>
      <xdr:spPr>
        <a:xfrm flipH="1">
          <a:off x="15011401" y="26992171"/>
          <a:ext cx="4429124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8282</xdr:colOff>
      <xdr:row>86</xdr:row>
      <xdr:rowOff>12424</xdr:rowOff>
    </xdr:from>
    <xdr:to>
      <xdr:col>31</xdr:col>
      <xdr:colOff>0</xdr:colOff>
      <xdr:row>86</xdr:row>
      <xdr:rowOff>12424</xdr:rowOff>
    </xdr:to>
    <xdr:cxnSp macro="">
      <xdr:nvCxnSpPr>
        <xdr:cNvPr id="289" name="Straight Arrow Connector 288"/>
        <xdr:cNvCxnSpPr/>
      </xdr:nvCxnSpPr>
      <xdr:spPr>
        <a:xfrm>
          <a:off x="18696332" y="1345924"/>
          <a:ext cx="66799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571500</xdr:colOff>
      <xdr:row>124</xdr:row>
      <xdr:rowOff>114300</xdr:rowOff>
    </xdr:from>
    <xdr:to>
      <xdr:col>24</xdr:col>
      <xdr:colOff>573830</xdr:colOff>
      <xdr:row>124</xdr:row>
      <xdr:rowOff>123253</xdr:rowOff>
    </xdr:to>
    <xdr:cxnSp macro="">
      <xdr:nvCxnSpPr>
        <xdr:cNvPr id="290" name="Straight Arrow Connector 289"/>
        <xdr:cNvCxnSpPr/>
      </xdr:nvCxnSpPr>
      <xdr:spPr>
        <a:xfrm>
          <a:off x="16621125" y="23736300"/>
          <a:ext cx="592880" cy="8953"/>
        </a:xfrm>
        <a:prstGeom prst="straightConnector1">
          <a:avLst/>
        </a:prstGeom>
        <a:ln>
          <a:headEnd type="none"/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30</xdr:col>
      <xdr:colOff>76200</xdr:colOff>
      <xdr:row>119</xdr:row>
      <xdr:rowOff>9525</xdr:rowOff>
    </xdr:from>
    <xdr:to>
      <xdr:col>31</xdr:col>
      <xdr:colOff>0</xdr:colOff>
      <xdr:row>119</xdr:row>
      <xdr:rowOff>13666</xdr:rowOff>
    </xdr:to>
    <xdr:cxnSp macro="">
      <xdr:nvCxnSpPr>
        <xdr:cNvPr id="292" name="Straight Arrow Connector 291"/>
        <xdr:cNvCxnSpPr/>
      </xdr:nvCxnSpPr>
      <xdr:spPr>
        <a:xfrm>
          <a:off x="18764250" y="7629525"/>
          <a:ext cx="600075" cy="414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76238</xdr:colOff>
      <xdr:row>116</xdr:row>
      <xdr:rowOff>161925</xdr:rowOff>
    </xdr:from>
    <xdr:to>
      <xdr:col>30</xdr:col>
      <xdr:colOff>76238</xdr:colOff>
      <xdr:row>119</xdr:row>
      <xdr:rowOff>19050</xdr:rowOff>
    </xdr:to>
    <xdr:cxnSp macro="">
      <xdr:nvCxnSpPr>
        <xdr:cNvPr id="293" name="Straight Arrow Connector 292"/>
        <xdr:cNvCxnSpPr/>
      </xdr:nvCxnSpPr>
      <xdr:spPr>
        <a:xfrm>
          <a:off x="18764288" y="7210425"/>
          <a:ext cx="0" cy="4286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333374</xdr:colOff>
      <xdr:row>10</xdr:row>
      <xdr:rowOff>28575</xdr:rowOff>
    </xdr:from>
    <xdr:to>
      <xdr:col>4</xdr:col>
      <xdr:colOff>333375</xdr:colOff>
      <xdr:row>83</xdr:row>
      <xdr:rowOff>9525</xdr:rowOff>
    </xdr:to>
    <xdr:cxnSp macro="">
      <xdr:nvCxnSpPr>
        <xdr:cNvPr id="294" name="Straight Arrow Connector 293"/>
        <xdr:cNvCxnSpPr/>
      </xdr:nvCxnSpPr>
      <xdr:spPr>
        <a:xfrm flipH="1">
          <a:off x="4143374" y="1933575"/>
          <a:ext cx="1" cy="15220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542925</xdr:colOff>
      <xdr:row>0</xdr:row>
      <xdr:rowOff>142875</xdr:rowOff>
    </xdr:from>
    <xdr:to>
      <xdr:col>18</xdr:col>
      <xdr:colOff>571500</xdr:colOff>
      <xdr:row>3</xdr:row>
      <xdr:rowOff>66675</xdr:rowOff>
    </xdr:to>
    <xdr:sp macro="" textlink="">
      <xdr:nvSpPr>
        <xdr:cNvPr id="28" name="TextBox 27"/>
        <xdr:cNvSpPr txBox="1"/>
      </xdr:nvSpPr>
      <xdr:spPr>
        <a:xfrm>
          <a:off x="11010900" y="142875"/>
          <a:ext cx="281940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/>
            <a:t>ON</a:t>
          </a:r>
          <a:r>
            <a:rPr lang="en-US" sz="2800" baseline="0"/>
            <a:t> CROP SEASON</a:t>
          </a:r>
          <a:endParaRPr lang="en-US" sz="2800"/>
        </a:p>
      </xdr:txBody>
    </xdr:sp>
    <xdr:clientData/>
  </xdr:twoCellAnchor>
  <xdr:twoCellAnchor>
    <xdr:from>
      <xdr:col>14</xdr:col>
      <xdr:colOff>542924</xdr:colOff>
      <xdr:row>79</xdr:row>
      <xdr:rowOff>142875</xdr:rowOff>
    </xdr:from>
    <xdr:to>
      <xdr:col>19</xdr:col>
      <xdr:colOff>95249</xdr:colOff>
      <xdr:row>82</xdr:row>
      <xdr:rowOff>66675</xdr:rowOff>
    </xdr:to>
    <xdr:sp macro="" textlink="">
      <xdr:nvSpPr>
        <xdr:cNvPr id="295" name="TextBox 294"/>
        <xdr:cNvSpPr txBox="1"/>
      </xdr:nvSpPr>
      <xdr:spPr>
        <a:xfrm>
          <a:off x="11010899" y="16525875"/>
          <a:ext cx="3038475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/>
            <a:t>OFF</a:t>
          </a:r>
          <a:r>
            <a:rPr lang="en-US" sz="2800" baseline="0"/>
            <a:t> CROP SEASON</a:t>
          </a:r>
          <a:endParaRPr lang="en-US" sz="2800"/>
        </a:p>
      </xdr:txBody>
    </xdr:sp>
    <xdr:clientData/>
  </xdr:twoCellAnchor>
  <xdr:twoCellAnchor>
    <xdr:from>
      <xdr:col>11</xdr:col>
      <xdr:colOff>0</xdr:colOff>
      <xdr:row>25</xdr:row>
      <xdr:rowOff>4896</xdr:rowOff>
    </xdr:from>
    <xdr:to>
      <xdr:col>11</xdr:col>
      <xdr:colOff>0</xdr:colOff>
      <xdr:row>45</xdr:row>
      <xdr:rowOff>47625</xdr:rowOff>
    </xdr:to>
    <xdr:cxnSp macro="">
      <xdr:nvCxnSpPr>
        <xdr:cNvPr id="297" name="Straight Arrow Connector 296"/>
        <xdr:cNvCxnSpPr/>
      </xdr:nvCxnSpPr>
      <xdr:spPr>
        <a:xfrm>
          <a:off x="8382000" y="4767396"/>
          <a:ext cx="0" cy="385272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45</xdr:row>
      <xdr:rowOff>157296</xdr:rowOff>
    </xdr:from>
    <xdr:to>
      <xdr:col>11</xdr:col>
      <xdr:colOff>0</xdr:colOff>
      <xdr:row>48</xdr:row>
      <xdr:rowOff>123825</xdr:rowOff>
    </xdr:to>
    <xdr:cxnSp macro="">
      <xdr:nvCxnSpPr>
        <xdr:cNvPr id="298" name="Straight Arrow Connector 297"/>
        <xdr:cNvCxnSpPr/>
      </xdr:nvCxnSpPr>
      <xdr:spPr>
        <a:xfrm>
          <a:off x="8382000" y="8729796"/>
          <a:ext cx="0" cy="53802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49</xdr:row>
      <xdr:rowOff>52521</xdr:rowOff>
    </xdr:from>
    <xdr:to>
      <xdr:col>11</xdr:col>
      <xdr:colOff>0</xdr:colOff>
      <xdr:row>62</xdr:row>
      <xdr:rowOff>133350</xdr:rowOff>
    </xdr:to>
    <xdr:cxnSp macro="">
      <xdr:nvCxnSpPr>
        <xdr:cNvPr id="300" name="Straight Arrow Connector 299"/>
        <xdr:cNvCxnSpPr/>
      </xdr:nvCxnSpPr>
      <xdr:spPr>
        <a:xfrm>
          <a:off x="8382000" y="9387021"/>
          <a:ext cx="0" cy="255732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63</xdr:row>
      <xdr:rowOff>57150</xdr:rowOff>
    </xdr:from>
    <xdr:to>
      <xdr:col>11</xdr:col>
      <xdr:colOff>0</xdr:colOff>
      <xdr:row>72</xdr:row>
      <xdr:rowOff>104775</xdr:rowOff>
    </xdr:to>
    <xdr:cxnSp macro="">
      <xdr:nvCxnSpPr>
        <xdr:cNvPr id="301" name="Straight Arrow Connector 300"/>
        <xdr:cNvCxnSpPr/>
      </xdr:nvCxnSpPr>
      <xdr:spPr>
        <a:xfrm>
          <a:off x="7772400" y="12058650"/>
          <a:ext cx="0" cy="17621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72</xdr:row>
      <xdr:rowOff>104775</xdr:rowOff>
    </xdr:from>
    <xdr:to>
      <xdr:col>24</xdr:col>
      <xdr:colOff>276225</xdr:colOff>
      <xdr:row>72</xdr:row>
      <xdr:rowOff>104775</xdr:rowOff>
    </xdr:to>
    <xdr:cxnSp macro="">
      <xdr:nvCxnSpPr>
        <xdr:cNvPr id="303" name="Straight Arrow Connector 302"/>
        <xdr:cNvCxnSpPr/>
      </xdr:nvCxnSpPr>
      <xdr:spPr>
        <a:xfrm>
          <a:off x="7781925" y="13820775"/>
          <a:ext cx="9334500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200025</xdr:colOff>
      <xdr:row>62</xdr:row>
      <xdr:rowOff>38100</xdr:rowOff>
    </xdr:from>
    <xdr:to>
      <xdr:col>25</xdr:col>
      <xdr:colOff>95250</xdr:colOff>
      <xdr:row>63</xdr:row>
      <xdr:rowOff>47625</xdr:rowOff>
    </xdr:to>
    <xdr:sp macro="" textlink="">
      <xdr:nvSpPr>
        <xdr:cNvPr id="30" name="Rounded Rectangle 29"/>
        <xdr:cNvSpPr/>
      </xdr:nvSpPr>
      <xdr:spPr>
        <a:xfrm>
          <a:off x="17583150" y="11849100"/>
          <a:ext cx="504825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HX</a:t>
          </a:r>
        </a:p>
      </xdr:txBody>
    </xdr:sp>
    <xdr:clientData/>
  </xdr:twoCellAnchor>
  <xdr:twoCellAnchor>
    <xdr:from>
      <xdr:col>24</xdr:col>
      <xdr:colOff>272187</xdr:colOff>
      <xdr:row>63</xdr:row>
      <xdr:rowOff>66676</xdr:rowOff>
    </xdr:from>
    <xdr:to>
      <xdr:col>24</xdr:col>
      <xdr:colOff>272187</xdr:colOff>
      <xdr:row>72</xdr:row>
      <xdr:rowOff>114300</xdr:rowOff>
    </xdr:to>
    <xdr:cxnSp macro="">
      <xdr:nvCxnSpPr>
        <xdr:cNvPr id="306" name="Straight Arrow Connector 305"/>
        <xdr:cNvCxnSpPr/>
      </xdr:nvCxnSpPr>
      <xdr:spPr>
        <a:xfrm flipV="1">
          <a:off x="17112387" y="12068176"/>
          <a:ext cx="0" cy="17621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704850</xdr:colOff>
      <xdr:row>63</xdr:row>
      <xdr:rowOff>66675</xdr:rowOff>
    </xdr:from>
    <xdr:to>
      <xdr:col>24</xdr:col>
      <xdr:colOff>723900</xdr:colOff>
      <xdr:row>71</xdr:row>
      <xdr:rowOff>114300</xdr:rowOff>
    </xdr:to>
    <xdr:cxnSp macro="">
      <xdr:nvCxnSpPr>
        <xdr:cNvPr id="307" name="Straight Arrow Connector 306"/>
        <xdr:cNvCxnSpPr/>
      </xdr:nvCxnSpPr>
      <xdr:spPr>
        <a:xfrm flipH="1">
          <a:off x="17345025" y="12068175"/>
          <a:ext cx="19050" cy="15716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12990</xdr:colOff>
      <xdr:row>104</xdr:row>
      <xdr:rowOff>14421</xdr:rowOff>
    </xdr:from>
    <xdr:to>
      <xdr:col>11</xdr:col>
      <xdr:colOff>12990</xdr:colOff>
      <xdr:row>124</xdr:row>
      <xdr:rowOff>57150</xdr:rowOff>
    </xdr:to>
    <xdr:cxnSp macro="">
      <xdr:nvCxnSpPr>
        <xdr:cNvPr id="256" name="Straight Arrow Connector 255"/>
        <xdr:cNvCxnSpPr/>
      </xdr:nvCxnSpPr>
      <xdr:spPr>
        <a:xfrm>
          <a:off x="8399320" y="19826421"/>
          <a:ext cx="0" cy="385272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124</xdr:row>
      <xdr:rowOff>166821</xdr:rowOff>
    </xdr:from>
    <xdr:to>
      <xdr:col>11</xdr:col>
      <xdr:colOff>0</xdr:colOff>
      <xdr:row>127</xdr:row>
      <xdr:rowOff>133350</xdr:rowOff>
    </xdr:to>
    <xdr:cxnSp macro="">
      <xdr:nvCxnSpPr>
        <xdr:cNvPr id="257" name="Straight Arrow Connector 256"/>
        <xdr:cNvCxnSpPr/>
      </xdr:nvCxnSpPr>
      <xdr:spPr>
        <a:xfrm>
          <a:off x="8382000" y="23788821"/>
          <a:ext cx="0" cy="53802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128</xdr:row>
      <xdr:rowOff>62046</xdr:rowOff>
    </xdr:from>
    <xdr:to>
      <xdr:col>11</xdr:col>
      <xdr:colOff>0</xdr:colOff>
      <xdr:row>141</xdr:row>
      <xdr:rowOff>19050</xdr:rowOff>
    </xdr:to>
    <xdr:cxnSp macro="">
      <xdr:nvCxnSpPr>
        <xdr:cNvPr id="258" name="Straight Arrow Connector 257"/>
        <xdr:cNvCxnSpPr/>
      </xdr:nvCxnSpPr>
      <xdr:spPr>
        <a:xfrm>
          <a:off x="7772400" y="24446046"/>
          <a:ext cx="0" cy="2433504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141</xdr:row>
      <xdr:rowOff>142875</xdr:rowOff>
    </xdr:from>
    <xdr:to>
      <xdr:col>11</xdr:col>
      <xdr:colOff>0</xdr:colOff>
      <xdr:row>151</xdr:row>
      <xdr:rowOff>95250</xdr:rowOff>
    </xdr:to>
    <xdr:cxnSp macro="">
      <xdr:nvCxnSpPr>
        <xdr:cNvPr id="259" name="Straight Arrow Connector 258"/>
        <xdr:cNvCxnSpPr/>
      </xdr:nvCxnSpPr>
      <xdr:spPr>
        <a:xfrm>
          <a:off x="7772400" y="27003375"/>
          <a:ext cx="0" cy="18573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151</xdr:row>
      <xdr:rowOff>85725</xdr:rowOff>
    </xdr:from>
    <xdr:to>
      <xdr:col>24</xdr:col>
      <xdr:colOff>276225</xdr:colOff>
      <xdr:row>151</xdr:row>
      <xdr:rowOff>85725</xdr:rowOff>
    </xdr:to>
    <xdr:cxnSp macro="">
      <xdr:nvCxnSpPr>
        <xdr:cNvPr id="260" name="Straight Arrow Connector 259"/>
        <xdr:cNvCxnSpPr/>
      </xdr:nvCxnSpPr>
      <xdr:spPr>
        <a:xfrm>
          <a:off x="7781925" y="28851225"/>
          <a:ext cx="9477375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200025</xdr:colOff>
      <xdr:row>141</xdr:row>
      <xdr:rowOff>47625</xdr:rowOff>
    </xdr:from>
    <xdr:to>
      <xdr:col>25</xdr:col>
      <xdr:colOff>95250</xdr:colOff>
      <xdr:row>142</xdr:row>
      <xdr:rowOff>57150</xdr:rowOff>
    </xdr:to>
    <xdr:sp macro="" textlink="">
      <xdr:nvSpPr>
        <xdr:cNvPr id="296" name="Rounded Rectangle 295"/>
        <xdr:cNvSpPr/>
      </xdr:nvSpPr>
      <xdr:spPr>
        <a:xfrm>
          <a:off x="17649825" y="26908125"/>
          <a:ext cx="504825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HX</a:t>
          </a:r>
        </a:p>
      </xdr:txBody>
    </xdr:sp>
    <xdr:clientData/>
  </xdr:twoCellAnchor>
  <xdr:twoCellAnchor>
    <xdr:from>
      <xdr:col>24</xdr:col>
      <xdr:colOff>272187</xdr:colOff>
      <xdr:row>142</xdr:row>
      <xdr:rowOff>76201</xdr:rowOff>
    </xdr:from>
    <xdr:to>
      <xdr:col>24</xdr:col>
      <xdr:colOff>272187</xdr:colOff>
      <xdr:row>151</xdr:row>
      <xdr:rowOff>85725</xdr:rowOff>
    </xdr:to>
    <xdr:cxnSp macro="">
      <xdr:nvCxnSpPr>
        <xdr:cNvPr id="308" name="Straight Arrow Connector 307"/>
        <xdr:cNvCxnSpPr/>
      </xdr:nvCxnSpPr>
      <xdr:spPr>
        <a:xfrm flipV="1">
          <a:off x="17255262" y="27127201"/>
          <a:ext cx="0" cy="17240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681106</xdr:colOff>
      <xdr:row>142</xdr:row>
      <xdr:rowOff>68580</xdr:rowOff>
    </xdr:from>
    <xdr:to>
      <xdr:col>24</xdr:col>
      <xdr:colOff>681106</xdr:colOff>
      <xdr:row>150</xdr:row>
      <xdr:rowOff>123825</xdr:rowOff>
    </xdr:to>
    <xdr:cxnSp macro="">
      <xdr:nvCxnSpPr>
        <xdr:cNvPr id="309" name="Straight Arrow Connector 308"/>
        <xdr:cNvCxnSpPr/>
      </xdr:nvCxnSpPr>
      <xdr:spPr>
        <a:xfrm>
          <a:off x="17342236" y="27119580"/>
          <a:ext cx="0" cy="157924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571500</xdr:colOff>
      <xdr:row>63</xdr:row>
      <xdr:rowOff>85725</xdr:rowOff>
    </xdr:from>
    <xdr:to>
      <xdr:col>17</xdr:col>
      <xdr:colOff>571500</xdr:colOff>
      <xdr:row>67</xdr:row>
      <xdr:rowOff>180975</xdr:rowOff>
    </xdr:to>
    <xdr:cxnSp macro="">
      <xdr:nvCxnSpPr>
        <xdr:cNvPr id="310" name="Straight Arrow Connector 309"/>
        <xdr:cNvCxnSpPr/>
      </xdr:nvCxnSpPr>
      <xdr:spPr>
        <a:xfrm>
          <a:off x="12477750" y="12087225"/>
          <a:ext cx="0" cy="8572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571500</xdr:colOff>
      <xdr:row>142</xdr:row>
      <xdr:rowOff>9525</xdr:rowOff>
    </xdr:from>
    <xdr:to>
      <xdr:col>17</xdr:col>
      <xdr:colOff>571500</xdr:colOff>
      <xdr:row>147</xdr:row>
      <xdr:rowOff>19050</xdr:rowOff>
    </xdr:to>
    <xdr:cxnSp macro="">
      <xdr:nvCxnSpPr>
        <xdr:cNvPr id="311" name="Straight Arrow Connector 310"/>
        <xdr:cNvCxnSpPr/>
      </xdr:nvCxnSpPr>
      <xdr:spPr>
        <a:xfrm>
          <a:off x="12477750" y="27060525"/>
          <a:ext cx="0" cy="962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238125</xdr:colOff>
          <xdr:row>112</xdr:row>
          <xdr:rowOff>133350</xdr:rowOff>
        </xdr:from>
        <xdr:to>
          <xdr:col>24</xdr:col>
          <xdr:colOff>104775</xdr:colOff>
          <xdr:row>113</xdr:row>
          <xdr:rowOff>133350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685796</xdr:colOff>
      <xdr:row>94</xdr:row>
      <xdr:rowOff>171450</xdr:rowOff>
    </xdr:from>
    <xdr:to>
      <xdr:col>27</xdr:col>
      <xdr:colOff>647700</xdr:colOff>
      <xdr:row>99</xdr:row>
      <xdr:rowOff>85725</xdr:rowOff>
    </xdr:to>
    <xdr:grpSp>
      <xdr:nvGrpSpPr>
        <xdr:cNvPr id="312" name="Group 311"/>
        <xdr:cNvGrpSpPr/>
      </xdr:nvGrpSpPr>
      <xdr:grpSpPr>
        <a:xfrm>
          <a:off x="17325971" y="18078450"/>
          <a:ext cx="2143129" cy="866775"/>
          <a:chOff x="12262857" y="3062273"/>
          <a:chExt cx="1553010" cy="1128735"/>
        </a:xfrm>
      </xdr:grpSpPr>
      <xdr:sp macro="" textlink="">
        <xdr:nvSpPr>
          <xdr:cNvPr id="314" name="Rectangle 313"/>
          <xdr:cNvSpPr/>
        </xdr:nvSpPr>
        <xdr:spPr>
          <a:xfrm>
            <a:off x="13230225" y="3543300"/>
            <a:ext cx="457200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sp macro="" textlink="">
        <xdr:nvSpPr>
          <xdr:cNvPr id="316" name="Flowchart: Manual Operation 22"/>
          <xdr:cNvSpPr/>
        </xdr:nvSpPr>
        <xdr:spPr>
          <a:xfrm rot="5400000">
            <a:off x="12218950" y="3106180"/>
            <a:ext cx="1128735" cy="1040922"/>
          </a:xfrm>
          <a:custGeom>
            <a:avLst/>
            <a:gdLst>
              <a:gd name="connsiteX0" fmla="*/ 0 w 10000"/>
              <a:gd name="connsiteY0" fmla="*/ 0 h 10000"/>
              <a:gd name="connsiteX1" fmla="*/ 10000 w 10000"/>
              <a:gd name="connsiteY1" fmla="*/ 0 h 10000"/>
              <a:gd name="connsiteX2" fmla="*/ 8000 w 10000"/>
              <a:gd name="connsiteY2" fmla="*/ 10000 h 10000"/>
              <a:gd name="connsiteX3" fmla="*/ 2000 w 10000"/>
              <a:gd name="connsiteY3" fmla="*/ 10000 h 10000"/>
              <a:gd name="connsiteX4" fmla="*/ 0 w 10000"/>
              <a:gd name="connsiteY4" fmla="*/ 0 h 10000"/>
              <a:gd name="connsiteX0" fmla="*/ 0 w 16519"/>
              <a:gd name="connsiteY0" fmla="*/ 0 h 10080"/>
              <a:gd name="connsiteX1" fmla="*/ 16519 w 16519"/>
              <a:gd name="connsiteY1" fmla="*/ 80 h 10080"/>
              <a:gd name="connsiteX2" fmla="*/ 14519 w 16519"/>
              <a:gd name="connsiteY2" fmla="*/ 10080 h 10080"/>
              <a:gd name="connsiteX3" fmla="*/ 8519 w 16519"/>
              <a:gd name="connsiteY3" fmla="*/ 10080 h 10080"/>
              <a:gd name="connsiteX4" fmla="*/ 0 w 16519"/>
              <a:gd name="connsiteY4" fmla="*/ 0 h 10080"/>
              <a:gd name="connsiteX0" fmla="*/ 0 w 20371"/>
              <a:gd name="connsiteY0" fmla="*/ 0 h 10080"/>
              <a:gd name="connsiteX1" fmla="*/ 20371 w 20371"/>
              <a:gd name="connsiteY1" fmla="*/ 0 h 10080"/>
              <a:gd name="connsiteX2" fmla="*/ 14519 w 20371"/>
              <a:gd name="connsiteY2" fmla="*/ 10080 h 10080"/>
              <a:gd name="connsiteX3" fmla="*/ 8519 w 20371"/>
              <a:gd name="connsiteY3" fmla="*/ 10080 h 10080"/>
              <a:gd name="connsiteX4" fmla="*/ 0 w 20371"/>
              <a:gd name="connsiteY4" fmla="*/ 0 h 10080"/>
              <a:gd name="connsiteX0" fmla="*/ 0 w 17408"/>
              <a:gd name="connsiteY0" fmla="*/ 159 h 10080"/>
              <a:gd name="connsiteX1" fmla="*/ 17408 w 17408"/>
              <a:gd name="connsiteY1" fmla="*/ 0 h 10080"/>
              <a:gd name="connsiteX2" fmla="*/ 11556 w 17408"/>
              <a:gd name="connsiteY2" fmla="*/ 10080 h 10080"/>
              <a:gd name="connsiteX3" fmla="*/ 5556 w 17408"/>
              <a:gd name="connsiteY3" fmla="*/ 10080 h 10080"/>
              <a:gd name="connsiteX4" fmla="*/ 0 w 17408"/>
              <a:gd name="connsiteY4" fmla="*/ 159 h 10080"/>
              <a:gd name="connsiteX0" fmla="*/ 0 w 17556"/>
              <a:gd name="connsiteY0" fmla="*/ 0 h 10080"/>
              <a:gd name="connsiteX1" fmla="*/ 17556 w 17556"/>
              <a:gd name="connsiteY1" fmla="*/ 0 h 10080"/>
              <a:gd name="connsiteX2" fmla="*/ 11704 w 17556"/>
              <a:gd name="connsiteY2" fmla="*/ 10080 h 10080"/>
              <a:gd name="connsiteX3" fmla="*/ 5704 w 17556"/>
              <a:gd name="connsiteY3" fmla="*/ 10080 h 10080"/>
              <a:gd name="connsiteX4" fmla="*/ 0 w 17556"/>
              <a:gd name="connsiteY4" fmla="*/ 0 h 100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556" h="10080">
                <a:moveTo>
                  <a:pt x="0" y="0"/>
                </a:moveTo>
                <a:lnTo>
                  <a:pt x="17556" y="0"/>
                </a:lnTo>
                <a:lnTo>
                  <a:pt x="11704" y="10080"/>
                </a:lnTo>
                <a:lnTo>
                  <a:pt x="5704" y="10080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l"/>
            <a:r>
              <a:rPr lang="en-US" sz="1100"/>
              <a:t>            BP</a:t>
            </a:r>
            <a:r>
              <a:rPr lang="en-US" sz="1100" baseline="0"/>
              <a:t>-STG</a:t>
            </a:r>
            <a:endParaRPr lang="en-US" sz="1100"/>
          </a:p>
        </xdr:txBody>
      </xdr:sp>
      <xdr:sp macro="" textlink="">
        <xdr:nvSpPr>
          <xdr:cNvPr id="317" name="Rectangle 316"/>
          <xdr:cNvSpPr/>
        </xdr:nvSpPr>
        <xdr:spPr>
          <a:xfrm>
            <a:off x="13563600" y="3097309"/>
            <a:ext cx="252267" cy="99844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r>
              <a:rPr lang="en-US" sz="1100"/>
              <a:t>G</a:t>
            </a:r>
          </a:p>
        </xdr:txBody>
      </xdr:sp>
    </xdr:grpSp>
    <xdr:clientData/>
  </xdr:twoCellAnchor>
  <xdr:twoCellAnchor>
    <xdr:from>
      <xdr:col>19</xdr:col>
      <xdr:colOff>95250</xdr:colOff>
      <xdr:row>45</xdr:row>
      <xdr:rowOff>114300</xdr:rowOff>
    </xdr:from>
    <xdr:to>
      <xdr:col>21</xdr:col>
      <xdr:colOff>561975</xdr:colOff>
      <xdr:row>45</xdr:row>
      <xdr:rowOff>114300</xdr:rowOff>
    </xdr:to>
    <xdr:cxnSp macro="">
      <xdr:nvCxnSpPr>
        <xdr:cNvPr id="318" name="Straight Arrow Connector 317"/>
        <xdr:cNvCxnSpPr/>
      </xdr:nvCxnSpPr>
      <xdr:spPr>
        <a:xfrm>
          <a:off x="13582650" y="8686800"/>
          <a:ext cx="1819275" cy="0"/>
        </a:xfrm>
        <a:prstGeom prst="straightConnector1">
          <a:avLst/>
        </a:prstGeom>
        <a:ln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676276</xdr:colOff>
      <xdr:row>15</xdr:row>
      <xdr:rowOff>152400</xdr:rowOff>
    </xdr:from>
    <xdr:to>
      <xdr:col>21</xdr:col>
      <xdr:colOff>666750</xdr:colOff>
      <xdr:row>20</xdr:row>
      <xdr:rowOff>76201</xdr:rowOff>
    </xdr:to>
    <xdr:grpSp>
      <xdr:nvGrpSpPr>
        <xdr:cNvPr id="319" name="Group 318"/>
        <xdr:cNvGrpSpPr/>
      </xdr:nvGrpSpPr>
      <xdr:grpSpPr>
        <a:xfrm>
          <a:off x="13468351" y="3009900"/>
          <a:ext cx="2038349" cy="876301"/>
          <a:chOff x="12179527" y="3062273"/>
          <a:chExt cx="1636340" cy="1128735"/>
        </a:xfrm>
      </xdr:grpSpPr>
      <xdr:sp macro="" textlink="">
        <xdr:nvSpPr>
          <xdr:cNvPr id="320" name="Rectangle 319"/>
          <xdr:cNvSpPr/>
        </xdr:nvSpPr>
        <xdr:spPr>
          <a:xfrm>
            <a:off x="13230225" y="3543300"/>
            <a:ext cx="457200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sp macro="" textlink="">
        <xdr:nvSpPr>
          <xdr:cNvPr id="321" name="Flowchart: Manual Operation 22"/>
          <xdr:cNvSpPr/>
        </xdr:nvSpPr>
        <xdr:spPr>
          <a:xfrm rot="5400000">
            <a:off x="12165791" y="3076009"/>
            <a:ext cx="1128735" cy="1101263"/>
          </a:xfrm>
          <a:custGeom>
            <a:avLst/>
            <a:gdLst>
              <a:gd name="connsiteX0" fmla="*/ 0 w 10000"/>
              <a:gd name="connsiteY0" fmla="*/ 0 h 10000"/>
              <a:gd name="connsiteX1" fmla="*/ 10000 w 10000"/>
              <a:gd name="connsiteY1" fmla="*/ 0 h 10000"/>
              <a:gd name="connsiteX2" fmla="*/ 8000 w 10000"/>
              <a:gd name="connsiteY2" fmla="*/ 10000 h 10000"/>
              <a:gd name="connsiteX3" fmla="*/ 2000 w 10000"/>
              <a:gd name="connsiteY3" fmla="*/ 10000 h 10000"/>
              <a:gd name="connsiteX4" fmla="*/ 0 w 10000"/>
              <a:gd name="connsiteY4" fmla="*/ 0 h 10000"/>
              <a:gd name="connsiteX0" fmla="*/ 0 w 16519"/>
              <a:gd name="connsiteY0" fmla="*/ 0 h 10080"/>
              <a:gd name="connsiteX1" fmla="*/ 16519 w 16519"/>
              <a:gd name="connsiteY1" fmla="*/ 80 h 10080"/>
              <a:gd name="connsiteX2" fmla="*/ 14519 w 16519"/>
              <a:gd name="connsiteY2" fmla="*/ 10080 h 10080"/>
              <a:gd name="connsiteX3" fmla="*/ 8519 w 16519"/>
              <a:gd name="connsiteY3" fmla="*/ 10080 h 10080"/>
              <a:gd name="connsiteX4" fmla="*/ 0 w 16519"/>
              <a:gd name="connsiteY4" fmla="*/ 0 h 10080"/>
              <a:gd name="connsiteX0" fmla="*/ 0 w 20371"/>
              <a:gd name="connsiteY0" fmla="*/ 0 h 10080"/>
              <a:gd name="connsiteX1" fmla="*/ 20371 w 20371"/>
              <a:gd name="connsiteY1" fmla="*/ 0 h 10080"/>
              <a:gd name="connsiteX2" fmla="*/ 14519 w 20371"/>
              <a:gd name="connsiteY2" fmla="*/ 10080 h 10080"/>
              <a:gd name="connsiteX3" fmla="*/ 8519 w 20371"/>
              <a:gd name="connsiteY3" fmla="*/ 10080 h 10080"/>
              <a:gd name="connsiteX4" fmla="*/ 0 w 20371"/>
              <a:gd name="connsiteY4" fmla="*/ 0 h 10080"/>
              <a:gd name="connsiteX0" fmla="*/ 0 w 17408"/>
              <a:gd name="connsiteY0" fmla="*/ 159 h 10080"/>
              <a:gd name="connsiteX1" fmla="*/ 17408 w 17408"/>
              <a:gd name="connsiteY1" fmla="*/ 0 h 10080"/>
              <a:gd name="connsiteX2" fmla="*/ 11556 w 17408"/>
              <a:gd name="connsiteY2" fmla="*/ 10080 h 10080"/>
              <a:gd name="connsiteX3" fmla="*/ 5556 w 17408"/>
              <a:gd name="connsiteY3" fmla="*/ 10080 h 10080"/>
              <a:gd name="connsiteX4" fmla="*/ 0 w 17408"/>
              <a:gd name="connsiteY4" fmla="*/ 159 h 10080"/>
              <a:gd name="connsiteX0" fmla="*/ 0 w 17556"/>
              <a:gd name="connsiteY0" fmla="*/ 0 h 10080"/>
              <a:gd name="connsiteX1" fmla="*/ 17556 w 17556"/>
              <a:gd name="connsiteY1" fmla="*/ 0 h 10080"/>
              <a:gd name="connsiteX2" fmla="*/ 11704 w 17556"/>
              <a:gd name="connsiteY2" fmla="*/ 10080 h 10080"/>
              <a:gd name="connsiteX3" fmla="*/ 5704 w 17556"/>
              <a:gd name="connsiteY3" fmla="*/ 10080 h 10080"/>
              <a:gd name="connsiteX4" fmla="*/ 0 w 17556"/>
              <a:gd name="connsiteY4" fmla="*/ 0 h 100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556" h="10080">
                <a:moveTo>
                  <a:pt x="0" y="0"/>
                </a:moveTo>
                <a:lnTo>
                  <a:pt x="17556" y="0"/>
                </a:lnTo>
                <a:lnTo>
                  <a:pt x="11704" y="10080"/>
                </a:lnTo>
                <a:lnTo>
                  <a:pt x="5704" y="10080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l"/>
            <a:r>
              <a:rPr lang="en-US" sz="1100"/>
              <a:t>            BP</a:t>
            </a:r>
            <a:r>
              <a:rPr lang="en-US" sz="1100" baseline="0"/>
              <a:t>-STG</a:t>
            </a:r>
            <a:endParaRPr lang="en-US" sz="1100"/>
          </a:p>
        </xdr:txBody>
      </xdr:sp>
      <xdr:sp macro="" textlink="">
        <xdr:nvSpPr>
          <xdr:cNvPr id="322" name="Rectangle 321"/>
          <xdr:cNvSpPr/>
        </xdr:nvSpPr>
        <xdr:spPr>
          <a:xfrm>
            <a:off x="13563600" y="3097309"/>
            <a:ext cx="252267" cy="99844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r>
              <a:rPr lang="en-US" sz="1100"/>
              <a:t>G</a:t>
            </a:r>
          </a:p>
        </xdr:txBody>
      </xdr:sp>
    </xdr:grpSp>
    <xdr:clientData/>
  </xdr:twoCellAnchor>
  <xdr:twoCellAnchor>
    <xdr:from>
      <xdr:col>25</xdr:col>
      <xdr:colOff>0</xdr:colOff>
      <xdr:row>15</xdr:row>
      <xdr:rowOff>152400</xdr:rowOff>
    </xdr:from>
    <xdr:to>
      <xdr:col>27</xdr:col>
      <xdr:colOff>647700</xdr:colOff>
      <xdr:row>20</xdr:row>
      <xdr:rowOff>66675</xdr:rowOff>
    </xdr:to>
    <xdr:grpSp>
      <xdr:nvGrpSpPr>
        <xdr:cNvPr id="323" name="Group 322"/>
        <xdr:cNvGrpSpPr/>
      </xdr:nvGrpSpPr>
      <xdr:grpSpPr>
        <a:xfrm>
          <a:off x="17383125" y="3009900"/>
          <a:ext cx="2085975" cy="866775"/>
          <a:chOff x="12262857" y="3062273"/>
          <a:chExt cx="1553010" cy="1128735"/>
        </a:xfrm>
      </xdr:grpSpPr>
      <xdr:sp macro="" textlink="">
        <xdr:nvSpPr>
          <xdr:cNvPr id="324" name="Rectangle 323"/>
          <xdr:cNvSpPr/>
        </xdr:nvSpPr>
        <xdr:spPr>
          <a:xfrm>
            <a:off x="13230225" y="3543300"/>
            <a:ext cx="457200" cy="1714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sp macro="" textlink="">
        <xdr:nvSpPr>
          <xdr:cNvPr id="325" name="Flowchart: Manual Operation 22"/>
          <xdr:cNvSpPr/>
        </xdr:nvSpPr>
        <xdr:spPr>
          <a:xfrm rot="5400000">
            <a:off x="12218950" y="3106180"/>
            <a:ext cx="1128735" cy="1040922"/>
          </a:xfrm>
          <a:custGeom>
            <a:avLst/>
            <a:gdLst>
              <a:gd name="connsiteX0" fmla="*/ 0 w 10000"/>
              <a:gd name="connsiteY0" fmla="*/ 0 h 10000"/>
              <a:gd name="connsiteX1" fmla="*/ 10000 w 10000"/>
              <a:gd name="connsiteY1" fmla="*/ 0 h 10000"/>
              <a:gd name="connsiteX2" fmla="*/ 8000 w 10000"/>
              <a:gd name="connsiteY2" fmla="*/ 10000 h 10000"/>
              <a:gd name="connsiteX3" fmla="*/ 2000 w 10000"/>
              <a:gd name="connsiteY3" fmla="*/ 10000 h 10000"/>
              <a:gd name="connsiteX4" fmla="*/ 0 w 10000"/>
              <a:gd name="connsiteY4" fmla="*/ 0 h 10000"/>
              <a:gd name="connsiteX0" fmla="*/ 0 w 16519"/>
              <a:gd name="connsiteY0" fmla="*/ 0 h 10080"/>
              <a:gd name="connsiteX1" fmla="*/ 16519 w 16519"/>
              <a:gd name="connsiteY1" fmla="*/ 80 h 10080"/>
              <a:gd name="connsiteX2" fmla="*/ 14519 w 16519"/>
              <a:gd name="connsiteY2" fmla="*/ 10080 h 10080"/>
              <a:gd name="connsiteX3" fmla="*/ 8519 w 16519"/>
              <a:gd name="connsiteY3" fmla="*/ 10080 h 10080"/>
              <a:gd name="connsiteX4" fmla="*/ 0 w 16519"/>
              <a:gd name="connsiteY4" fmla="*/ 0 h 10080"/>
              <a:gd name="connsiteX0" fmla="*/ 0 w 20371"/>
              <a:gd name="connsiteY0" fmla="*/ 0 h 10080"/>
              <a:gd name="connsiteX1" fmla="*/ 20371 w 20371"/>
              <a:gd name="connsiteY1" fmla="*/ 0 h 10080"/>
              <a:gd name="connsiteX2" fmla="*/ 14519 w 20371"/>
              <a:gd name="connsiteY2" fmla="*/ 10080 h 10080"/>
              <a:gd name="connsiteX3" fmla="*/ 8519 w 20371"/>
              <a:gd name="connsiteY3" fmla="*/ 10080 h 10080"/>
              <a:gd name="connsiteX4" fmla="*/ 0 w 20371"/>
              <a:gd name="connsiteY4" fmla="*/ 0 h 10080"/>
              <a:gd name="connsiteX0" fmla="*/ 0 w 17408"/>
              <a:gd name="connsiteY0" fmla="*/ 159 h 10080"/>
              <a:gd name="connsiteX1" fmla="*/ 17408 w 17408"/>
              <a:gd name="connsiteY1" fmla="*/ 0 h 10080"/>
              <a:gd name="connsiteX2" fmla="*/ 11556 w 17408"/>
              <a:gd name="connsiteY2" fmla="*/ 10080 h 10080"/>
              <a:gd name="connsiteX3" fmla="*/ 5556 w 17408"/>
              <a:gd name="connsiteY3" fmla="*/ 10080 h 10080"/>
              <a:gd name="connsiteX4" fmla="*/ 0 w 17408"/>
              <a:gd name="connsiteY4" fmla="*/ 159 h 10080"/>
              <a:gd name="connsiteX0" fmla="*/ 0 w 17556"/>
              <a:gd name="connsiteY0" fmla="*/ 0 h 10080"/>
              <a:gd name="connsiteX1" fmla="*/ 17556 w 17556"/>
              <a:gd name="connsiteY1" fmla="*/ 0 h 10080"/>
              <a:gd name="connsiteX2" fmla="*/ 11704 w 17556"/>
              <a:gd name="connsiteY2" fmla="*/ 10080 h 10080"/>
              <a:gd name="connsiteX3" fmla="*/ 5704 w 17556"/>
              <a:gd name="connsiteY3" fmla="*/ 10080 h 10080"/>
              <a:gd name="connsiteX4" fmla="*/ 0 w 17556"/>
              <a:gd name="connsiteY4" fmla="*/ 0 h 100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556" h="10080">
                <a:moveTo>
                  <a:pt x="0" y="0"/>
                </a:moveTo>
                <a:lnTo>
                  <a:pt x="17556" y="0"/>
                </a:lnTo>
                <a:lnTo>
                  <a:pt x="11704" y="10080"/>
                </a:lnTo>
                <a:lnTo>
                  <a:pt x="5704" y="10080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l"/>
            <a:r>
              <a:rPr lang="en-US" sz="1100"/>
              <a:t>            BP</a:t>
            </a:r>
            <a:r>
              <a:rPr lang="en-US" sz="1100" baseline="0"/>
              <a:t>-STG</a:t>
            </a:r>
            <a:endParaRPr lang="en-US" sz="1100"/>
          </a:p>
        </xdr:txBody>
      </xdr:sp>
      <xdr:sp macro="" textlink="">
        <xdr:nvSpPr>
          <xdr:cNvPr id="326" name="Rectangle 325"/>
          <xdr:cNvSpPr/>
        </xdr:nvSpPr>
        <xdr:spPr>
          <a:xfrm>
            <a:off x="13563600" y="3097309"/>
            <a:ext cx="252267" cy="99844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r>
              <a:rPr lang="en-US" sz="1100"/>
              <a:t>G</a:t>
            </a:r>
          </a:p>
        </xdr:txBody>
      </xdr:sp>
    </xdr:grpSp>
    <xdr:clientData/>
  </xdr:twoCellAnchor>
  <xdr:twoCellAnchor>
    <xdr:from>
      <xdr:col>21</xdr:col>
      <xdr:colOff>563426</xdr:colOff>
      <xdr:row>28</xdr:row>
      <xdr:rowOff>180975</xdr:rowOff>
    </xdr:from>
    <xdr:to>
      <xdr:col>21</xdr:col>
      <xdr:colOff>563426</xdr:colOff>
      <xdr:row>37</xdr:row>
      <xdr:rowOff>66675</xdr:rowOff>
    </xdr:to>
    <xdr:cxnSp macro="">
      <xdr:nvCxnSpPr>
        <xdr:cNvPr id="329" name="Straight Arrow Connector 328"/>
        <xdr:cNvCxnSpPr/>
      </xdr:nvCxnSpPr>
      <xdr:spPr>
        <a:xfrm>
          <a:off x="15403376" y="5514975"/>
          <a:ext cx="0" cy="160020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649152</xdr:colOff>
      <xdr:row>46</xdr:row>
      <xdr:rowOff>19050</xdr:rowOff>
    </xdr:from>
    <xdr:to>
      <xdr:col>26</xdr:col>
      <xdr:colOff>654461</xdr:colOff>
      <xdr:row>49</xdr:row>
      <xdr:rowOff>98181</xdr:rowOff>
    </xdr:to>
    <xdr:cxnSp macro="">
      <xdr:nvCxnSpPr>
        <xdr:cNvPr id="332" name="Straight Arrow Connector 331"/>
        <xdr:cNvCxnSpPr>
          <a:endCxn id="17448" idx="0"/>
        </xdr:cNvCxnSpPr>
      </xdr:nvCxnSpPr>
      <xdr:spPr>
        <a:xfrm>
          <a:off x="18768633" y="8782050"/>
          <a:ext cx="5309" cy="650631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10976</xdr:colOff>
      <xdr:row>116</xdr:row>
      <xdr:rowOff>180975</xdr:rowOff>
    </xdr:from>
    <xdr:to>
      <xdr:col>19</xdr:col>
      <xdr:colOff>10976</xdr:colOff>
      <xdr:row>124</xdr:row>
      <xdr:rowOff>47625</xdr:rowOff>
    </xdr:to>
    <xdr:cxnSp macro="">
      <xdr:nvCxnSpPr>
        <xdr:cNvPr id="367" name="Straight Arrow Connector 366"/>
        <xdr:cNvCxnSpPr/>
      </xdr:nvCxnSpPr>
      <xdr:spPr>
        <a:xfrm>
          <a:off x="13498376" y="22278975"/>
          <a:ext cx="0" cy="139065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630101</xdr:colOff>
      <xdr:row>129</xdr:row>
      <xdr:rowOff>95250</xdr:rowOff>
    </xdr:from>
    <xdr:to>
      <xdr:col>26</xdr:col>
      <xdr:colOff>630101</xdr:colOff>
      <xdr:row>136</xdr:row>
      <xdr:rowOff>104775</xdr:rowOff>
    </xdr:to>
    <xdr:cxnSp macro="">
      <xdr:nvCxnSpPr>
        <xdr:cNvPr id="371" name="Straight Arrow Connector 370"/>
        <xdr:cNvCxnSpPr/>
      </xdr:nvCxnSpPr>
      <xdr:spPr>
        <a:xfrm>
          <a:off x="18756176" y="24669750"/>
          <a:ext cx="0" cy="13430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8</xdr:col>
      <xdr:colOff>0</xdr:colOff>
      <xdr:row>4</xdr:row>
      <xdr:rowOff>1</xdr:rowOff>
    </xdr:to>
    <xdr:cxnSp macro="">
      <xdr:nvCxnSpPr>
        <xdr:cNvPr id="2" name="Straight Arrow Connector 1"/>
        <xdr:cNvCxnSpPr/>
      </xdr:nvCxnSpPr>
      <xdr:spPr>
        <a:xfrm>
          <a:off x="3200400" y="762000"/>
          <a:ext cx="26098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333373</xdr:colOff>
      <xdr:row>4</xdr:row>
      <xdr:rowOff>0</xdr:rowOff>
    </xdr:from>
    <xdr:to>
      <xdr:col>4</xdr:col>
      <xdr:colOff>333374</xdr:colOff>
      <xdr:row>8</xdr:row>
      <xdr:rowOff>0</xdr:rowOff>
    </xdr:to>
    <xdr:cxnSp macro="">
      <xdr:nvCxnSpPr>
        <xdr:cNvPr id="3" name="Straight Arrow Connector 2"/>
        <xdr:cNvCxnSpPr/>
      </xdr:nvCxnSpPr>
      <xdr:spPr>
        <a:xfrm flipH="1">
          <a:off x="3533773" y="762000"/>
          <a:ext cx="1" cy="7620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638175</xdr:colOff>
      <xdr:row>4</xdr:row>
      <xdr:rowOff>28575</xdr:rowOff>
    </xdr:from>
    <xdr:to>
      <xdr:col>29</xdr:col>
      <xdr:colOff>95250</xdr:colOff>
      <xdr:row>4</xdr:row>
      <xdr:rowOff>28575</xdr:rowOff>
    </xdr:to>
    <xdr:cxnSp macro="">
      <xdr:nvCxnSpPr>
        <xdr:cNvPr id="4" name="Straight Arrow Connector 3"/>
        <xdr:cNvCxnSpPr/>
      </xdr:nvCxnSpPr>
      <xdr:spPr>
        <a:xfrm>
          <a:off x="7143750" y="790575"/>
          <a:ext cx="12601575" cy="0"/>
        </a:xfrm>
        <a:prstGeom prst="straightConnector1">
          <a:avLst/>
        </a:prstGeom>
        <a:ln w="38100">
          <a:headEnd type="none"/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62077</xdr:colOff>
      <xdr:row>4</xdr:row>
      <xdr:rowOff>47625</xdr:rowOff>
    </xdr:from>
    <xdr:to>
      <xdr:col>28</xdr:col>
      <xdr:colOff>62077</xdr:colOff>
      <xdr:row>7</xdr:row>
      <xdr:rowOff>16565</xdr:rowOff>
    </xdr:to>
    <xdr:cxnSp macro="">
      <xdr:nvCxnSpPr>
        <xdr:cNvPr id="5" name="Straight Arrow Connector 4"/>
        <xdr:cNvCxnSpPr/>
      </xdr:nvCxnSpPr>
      <xdr:spPr>
        <a:xfrm>
          <a:off x="19502602" y="809625"/>
          <a:ext cx="0" cy="54044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</xdr:row>
      <xdr:rowOff>120194</xdr:rowOff>
    </xdr:from>
    <xdr:to>
      <xdr:col>10</xdr:col>
      <xdr:colOff>0</xdr:colOff>
      <xdr:row>6</xdr:row>
      <xdr:rowOff>95250</xdr:rowOff>
    </xdr:to>
    <xdr:sp macro="" textlink="">
      <xdr:nvSpPr>
        <xdr:cNvPr id="7" name="Rectangle 6"/>
        <xdr:cNvSpPr/>
      </xdr:nvSpPr>
      <xdr:spPr>
        <a:xfrm>
          <a:off x="5810250" y="501194"/>
          <a:ext cx="1343025" cy="73705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2000" b="1"/>
            <a:t>Boilers</a:t>
          </a:r>
          <a:endParaRPr lang="en-US" sz="1100" b="1"/>
        </a:p>
      </xdr:txBody>
    </xdr:sp>
    <xdr:clientData/>
  </xdr:twoCellAnchor>
  <xdr:twoCellAnchor>
    <xdr:from>
      <xdr:col>14</xdr:col>
      <xdr:colOff>0</xdr:colOff>
      <xdr:row>17</xdr:row>
      <xdr:rowOff>0</xdr:rowOff>
    </xdr:from>
    <xdr:to>
      <xdr:col>15</xdr:col>
      <xdr:colOff>0</xdr:colOff>
      <xdr:row>19</xdr:row>
      <xdr:rowOff>133350</xdr:rowOff>
    </xdr:to>
    <xdr:sp macro="" textlink="">
      <xdr:nvSpPr>
        <xdr:cNvPr id="8" name="Flowchart: Manual Operation 22"/>
        <xdr:cNvSpPr/>
      </xdr:nvSpPr>
      <xdr:spPr>
        <a:xfrm rot="5400000">
          <a:off x="9972675" y="3124200"/>
          <a:ext cx="514350" cy="742950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16519"/>
            <a:gd name="connsiteY0" fmla="*/ 0 h 10080"/>
            <a:gd name="connsiteX1" fmla="*/ 16519 w 16519"/>
            <a:gd name="connsiteY1" fmla="*/ 80 h 10080"/>
            <a:gd name="connsiteX2" fmla="*/ 14519 w 16519"/>
            <a:gd name="connsiteY2" fmla="*/ 10080 h 10080"/>
            <a:gd name="connsiteX3" fmla="*/ 8519 w 16519"/>
            <a:gd name="connsiteY3" fmla="*/ 10080 h 10080"/>
            <a:gd name="connsiteX4" fmla="*/ 0 w 16519"/>
            <a:gd name="connsiteY4" fmla="*/ 0 h 10080"/>
            <a:gd name="connsiteX0" fmla="*/ 0 w 20371"/>
            <a:gd name="connsiteY0" fmla="*/ 0 h 10080"/>
            <a:gd name="connsiteX1" fmla="*/ 20371 w 20371"/>
            <a:gd name="connsiteY1" fmla="*/ 0 h 10080"/>
            <a:gd name="connsiteX2" fmla="*/ 14519 w 20371"/>
            <a:gd name="connsiteY2" fmla="*/ 10080 h 10080"/>
            <a:gd name="connsiteX3" fmla="*/ 8519 w 20371"/>
            <a:gd name="connsiteY3" fmla="*/ 10080 h 10080"/>
            <a:gd name="connsiteX4" fmla="*/ 0 w 20371"/>
            <a:gd name="connsiteY4" fmla="*/ 0 h 10080"/>
            <a:gd name="connsiteX0" fmla="*/ 0 w 17408"/>
            <a:gd name="connsiteY0" fmla="*/ 159 h 10080"/>
            <a:gd name="connsiteX1" fmla="*/ 17408 w 17408"/>
            <a:gd name="connsiteY1" fmla="*/ 0 h 10080"/>
            <a:gd name="connsiteX2" fmla="*/ 11556 w 17408"/>
            <a:gd name="connsiteY2" fmla="*/ 10080 h 10080"/>
            <a:gd name="connsiteX3" fmla="*/ 5556 w 17408"/>
            <a:gd name="connsiteY3" fmla="*/ 10080 h 10080"/>
            <a:gd name="connsiteX4" fmla="*/ 0 w 17408"/>
            <a:gd name="connsiteY4" fmla="*/ 159 h 10080"/>
            <a:gd name="connsiteX0" fmla="*/ 0 w 17556"/>
            <a:gd name="connsiteY0" fmla="*/ 0 h 10080"/>
            <a:gd name="connsiteX1" fmla="*/ 17556 w 17556"/>
            <a:gd name="connsiteY1" fmla="*/ 0 h 10080"/>
            <a:gd name="connsiteX2" fmla="*/ 11704 w 17556"/>
            <a:gd name="connsiteY2" fmla="*/ 10080 h 10080"/>
            <a:gd name="connsiteX3" fmla="*/ 5704 w 17556"/>
            <a:gd name="connsiteY3" fmla="*/ 10080 h 10080"/>
            <a:gd name="connsiteX4" fmla="*/ 0 w 17556"/>
            <a:gd name="connsiteY4" fmla="*/ 0 h 100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7556" h="10080">
              <a:moveTo>
                <a:pt x="0" y="0"/>
              </a:moveTo>
              <a:lnTo>
                <a:pt x="17556" y="0"/>
              </a:lnTo>
              <a:lnTo>
                <a:pt x="11704" y="10080"/>
              </a:lnTo>
              <a:lnTo>
                <a:pt x="5704" y="10080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vert270" wrap="square" lIns="0" tIns="0" rIns="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indent="0" algn="ctr"/>
          <a:r>
            <a:rPr lang="en-U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             Turbine</a:t>
          </a:r>
          <a:endParaRPr lang="en-US" sz="1100" baseline="0">
            <a:solidFill>
              <a:schemeClr val="lt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685789</xdr:colOff>
      <xdr:row>14</xdr:row>
      <xdr:rowOff>152404</xdr:rowOff>
    </xdr:from>
    <xdr:to>
      <xdr:col>24</xdr:col>
      <xdr:colOff>609594</xdr:colOff>
      <xdr:row>20</xdr:row>
      <xdr:rowOff>47626</xdr:rowOff>
    </xdr:to>
    <xdr:grpSp>
      <xdr:nvGrpSpPr>
        <xdr:cNvPr id="14" name="Group 13"/>
        <xdr:cNvGrpSpPr/>
      </xdr:nvGrpSpPr>
      <xdr:grpSpPr>
        <a:xfrm>
          <a:off x="14173189" y="2819404"/>
          <a:ext cx="3619505" cy="1038222"/>
          <a:chOff x="12206283" y="2773821"/>
          <a:chExt cx="1672826" cy="1367020"/>
        </a:xfrm>
      </xdr:grpSpPr>
      <xdr:sp macro="" textlink="">
        <xdr:nvSpPr>
          <xdr:cNvPr id="15" name="Rectangle 14"/>
          <xdr:cNvSpPr/>
        </xdr:nvSpPr>
        <xdr:spPr>
          <a:xfrm>
            <a:off x="13587600" y="3363267"/>
            <a:ext cx="99825" cy="20540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sp macro="" textlink="">
        <xdr:nvSpPr>
          <xdr:cNvPr id="16" name="Flowchart: Manual Operation 22"/>
          <xdr:cNvSpPr/>
        </xdr:nvSpPr>
        <xdr:spPr>
          <a:xfrm rot="5400000">
            <a:off x="12216117" y="2763987"/>
            <a:ext cx="1367020" cy="1386687"/>
          </a:xfrm>
          <a:custGeom>
            <a:avLst/>
            <a:gdLst>
              <a:gd name="connsiteX0" fmla="*/ 0 w 10000"/>
              <a:gd name="connsiteY0" fmla="*/ 0 h 10000"/>
              <a:gd name="connsiteX1" fmla="*/ 10000 w 10000"/>
              <a:gd name="connsiteY1" fmla="*/ 0 h 10000"/>
              <a:gd name="connsiteX2" fmla="*/ 8000 w 10000"/>
              <a:gd name="connsiteY2" fmla="*/ 10000 h 10000"/>
              <a:gd name="connsiteX3" fmla="*/ 2000 w 10000"/>
              <a:gd name="connsiteY3" fmla="*/ 10000 h 10000"/>
              <a:gd name="connsiteX4" fmla="*/ 0 w 10000"/>
              <a:gd name="connsiteY4" fmla="*/ 0 h 10000"/>
              <a:gd name="connsiteX0" fmla="*/ 0 w 16519"/>
              <a:gd name="connsiteY0" fmla="*/ 0 h 10080"/>
              <a:gd name="connsiteX1" fmla="*/ 16519 w 16519"/>
              <a:gd name="connsiteY1" fmla="*/ 80 h 10080"/>
              <a:gd name="connsiteX2" fmla="*/ 14519 w 16519"/>
              <a:gd name="connsiteY2" fmla="*/ 10080 h 10080"/>
              <a:gd name="connsiteX3" fmla="*/ 8519 w 16519"/>
              <a:gd name="connsiteY3" fmla="*/ 10080 h 10080"/>
              <a:gd name="connsiteX4" fmla="*/ 0 w 16519"/>
              <a:gd name="connsiteY4" fmla="*/ 0 h 10080"/>
              <a:gd name="connsiteX0" fmla="*/ 0 w 20371"/>
              <a:gd name="connsiteY0" fmla="*/ 0 h 10080"/>
              <a:gd name="connsiteX1" fmla="*/ 20371 w 20371"/>
              <a:gd name="connsiteY1" fmla="*/ 0 h 10080"/>
              <a:gd name="connsiteX2" fmla="*/ 14519 w 20371"/>
              <a:gd name="connsiteY2" fmla="*/ 10080 h 10080"/>
              <a:gd name="connsiteX3" fmla="*/ 8519 w 20371"/>
              <a:gd name="connsiteY3" fmla="*/ 10080 h 10080"/>
              <a:gd name="connsiteX4" fmla="*/ 0 w 20371"/>
              <a:gd name="connsiteY4" fmla="*/ 0 h 10080"/>
              <a:gd name="connsiteX0" fmla="*/ 0 w 17408"/>
              <a:gd name="connsiteY0" fmla="*/ 159 h 10080"/>
              <a:gd name="connsiteX1" fmla="*/ 17408 w 17408"/>
              <a:gd name="connsiteY1" fmla="*/ 0 h 10080"/>
              <a:gd name="connsiteX2" fmla="*/ 11556 w 17408"/>
              <a:gd name="connsiteY2" fmla="*/ 10080 h 10080"/>
              <a:gd name="connsiteX3" fmla="*/ 5556 w 17408"/>
              <a:gd name="connsiteY3" fmla="*/ 10080 h 10080"/>
              <a:gd name="connsiteX4" fmla="*/ 0 w 17408"/>
              <a:gd name="connsiteY4" fmla="*/ 159 h 10080"/>
              <a:gd name="connsiteX0" fmla="*/ 0 w 17556"/>
              <a:gd name="connsiteY0" fmla="*/ 0 h 10080"/>
              <a:gd name="connsiteX1" fmla="*/ 17556 w 17556"/>
              <a:gd name="connsiteY1" fmla="*/ 0 h 10080"/>
              <a:gd name="connsiteX2" fmla="*/ 11704 w 17556"/>
              <a:gd name="connsiteY2" fmla="*/ 10080 h 10080"/>
              <a:gd name="connsiteX3" fmla="*/ 5704 w 17556"/>
              <a:gd name="connsiteY3" fmla="*/ 10080 h 10080"/>
              <a:gd name="connsiteX4" fmla="*/ 0 w 17556"/>
              <a:gd name="connsiteY4" fmla="*/ 0 h 100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556" h="10080">
                <a:moveTo>
                  <a:pt x="0" y="0"/>
                </a:moveTo>
                <a:lnTo>
                  <a:pt x="17556" y="0"/>
                </a:lnTo>
                <a:lnTo>
                  <a:pt x="11704" y="10080"/>
                </a:lnTo>
                <a:lnTo>
                  <a:pt x="5704" y="10080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l"/>
            <a:r>
              <a:rPr lang="en-US" sz="1050"/>
              <a:t>              Extraction-Cum-Condensing</a:t>
            </a:r>
            <a:r>
              <a:rPr lang="en-US" sz="1050" baseline="0"/>
              <a:t> Turbine</a:t>
            </a:r>
            <a:endParaRPr lang="en-US" sz="1050"/>
          </a:p>
        </xdr:txBody>
      </xdr:sp>
      <xdr:sp macro="" textlink="">
        <xdr:nvSpPr>
          <xdr:cNvPr id="17" name="Rectangle 16"/>
          <xdr:cNvSpPr/>
        </xdr:nvSpPr>
        <xdr:spPr>
          <a:xfrm>
            <a:off x="13677294" y="2823982"/>
            <a:ext cx="201815" cy="126669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r>
              <a:rPr lang="en-US" sz="1100"/>
              <a:t>G</a:t>
            </a:r>
          </a:p>
        </xdr:txBody>
      </xdr:sp>
    </xdr:grpSp>
    <xdr:clientData/>
  </xdr:twoCellAnchor>
  <xdr:twoCellAnchor>
    <xdr:from>
      <xdr:col>19</xdr:col>
      <xdr:colOff>685790</xdr:colOff>
      <xdr:row>4</xdr:row>
      <xdr:rowOff>28575</xdr:rowOff>
    </xdr:from>
    <xdr:to>
      <xdr:col>19</xdr:col>
      <xdr:colOff>704114</xdr:colOff>
      <xdr:row>16</xdr:row>
      <xdr:rowOff>108726</xdr:rowOff>
    </xdr:to>
    <xdr:cxnSp macro="">
      <xdr:nvCxnSpPr>
        <xdr:cNvPr id="18" name="Straight Arrow Connector 17"/>
        <xdr:cNvCxnSpPr>
          <a:endCxn id="16" idx="3"/>
        </xdr:cNvCxnSpPr>
      </xdr:nvCxnSpPr>
      <xdr:spPr>
        <a:xfrm flipH="1">
          <a:off x="14173190" y="790575"/>
          <a:ext cx="18324" cy="236615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4</xdr:row>
      <xdr:rowOff>38100</xdr:rowOff>
    </xdr:from>
    <xdr:to>
      <xdr:col>14</xdr:col>
      <xdr:colOff>9525</xdr:colOff>
      <xdr:row>17</xdr:row>
      <xdr:rowOff>167114</xdr:rowOff>
    </xdr:to>
    <xdr:cxnSp macro="">
      <xdr:nvCxnSpPr>
        <xdr:cNvPr id="19" name="Straight Arrow Connector 18"/>
        <xdr:cNvCxnSpPr>
          <a:endCxn id="8" idx="3"/>
        </xdr:cNvCxnSpPr>
      </xdr:nvCxnSpPr>
      <xdr:spPr>
        <a:xfrm flipH="1">
          <a:off x="9858375" y="800100"/>
          <a:ext cx="9525" cy="260551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523875</xdr:colOff>
      <xdr:row>17</xdr:row>
      <xdr:rowOff>114300</xdr:rowOff>
    </xdr:from>
    <xdr:to>
      <xdr:col>17</xdr:col>
      <xdr:colOff>66637</xdr:colOff>
      <xdr:row>19</xdr:row>
      <xdr:rowOff>19050</xdr:rowOff>
    </xdr:to>
    <xdr:sp macro="" textlink="">
      <xdr:nvSpPr>
        <xdr:cNvPr id="24" name="Flowchart: Collate 23"/>
        <xdr:cNvSpPr/>
      </xdr:nvSpPr>
      <xdr:spPr>
        <a:xfrm>
          <a:off x="11820525" y="3352800"/>
          <a:ext cx="152362" cy="285750"/>
        </a:xfrm>
        <a:prstGeom prst="flowChartCollate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591944</xdr:colOff>
      <xdr:row>19</xdr:row>
      <xdr:rowOff>85725</xdr:rowOff>
    </xdr:from>
    <xdr:to>
      <xdr:col>16</xdr:col>
      <xdr:colOff>608902</xdr:colOff>
      <xdr:row>37</xdr:row>
      <xdr:rowOff>152400</xdr:rowOff>
    </xdr:to>
    <xdr:cxnSp macro="">
      <xdr:nvCxnSpPr>
        <xdr:cNvPr id="25" name="Straight Arrow Connector 24"/>
        <xdr:cNvCxnSpPr/>
      </xdr:nvCxnSpPr>
      <xdr:spPr>
        <a:xfrm flipH="1">
          <a:off x="11888594" y="3705225"/>
          <a:ext cx="16958" cy="34956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37</xdr:row>
      <xdr:rowOff>151714</xdr:rowOff>
    </xdr:from>
    <xdr:to>
      <xdr:col>28</xdr:col>
      <xdr:colOff>447675</xdr:colOff>
      <xdr:row>37</xdr:row>
      <xdr:rowOff>151714</xdr:rowOff>
    </xdr:to>
    <xdr:cxnSp macro="">
      <xdr:nvCxnSpPr>
        <xdr:cNvPr id="28" name="Straight Arrow Connector 27"/>
        <xdr:cNvCxnSpPr/>
      </xdr:nvCxnSpPr>
      <xdr:spPr>
        <a:xfrm>
          <a:off x="9858375" y="7200214"/>
          <a:ext cx="9944100" cy="0"/>
        </a:xfrm>
        <a:prstGeom prst="straightConnector1">
          <a:avLst/>
        </a:prstGeom>
        <a:ln w="38100"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108196</xdr:rowOff>
    </xdr:from>
    <xdr:to>
      <xdr:col>15</xdr:col>
      <xdr:colOff>0</xdr:colOff>
      <xdr:row>37</xdr:row>
      <xdr:rowOff>142875</xdr:rowOff>
    </xdr:to>
    <xdr:cxnSp macro="">
      <xdr:nvCxnSpPr>
        <xdr:cNvPr id="29" name="Straight Arrow Connector 28"/>
        <xdr:cNvCxnSpPr/>
      </xdr:nvCxnSpPr>
      <xdr:spPr>
        <a:xfrm>
          <a:off x="10601325" y="3727696"/>
          <a:ext cx="0" cy="346367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19050</xdr:colOff>
      <xdr:row>19</xdr:row>
      <xdr:rowOff>0</xdr:rowOff>
    </xdr:from>
    <xdr:to>
      <xdr:col>21</xdr:col>
      <xdr:colOff>19050</xdr:colOff>
      <xdr:row>28</xdr:row>
      <xdr:rowOff>142875</xdr:rowOff>
    </xdr:to>
    <xdr:cxnSp macro="">
      <xdr:nvCxnSpPr>
        <xdr:cNvPr id="30" name="Straight Arrow Connector 29"/>
        <xdr:cNvCxnSpPr/>
      </xdr:nvCxnSpPr>
      <xdr:spPr>
        <a:xfrm>
          <a:off x="14992350" y="3619500"/>
          <a:ext cx="0" cy="18573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28</xdr:row>
      <xdr:rowOff>161930</xdr:rowOff>
    </xdr:from>
    <xdr:to>
      <xdr:col>28</xdr:col>
      <xdr:colOff>438150</xdr:colOff>
      <xdr:row>28</xdr:row>
      <xdr:rowOff>161930</xdr:rowOff>
    </xdr:to>
    <xdr:cxnSp macro="">
      <xdr:nvCxnSpPr>
        <xdr:cNvPr id="31" name="Straight Arrow Connector 30"/>
        <xdr:cNvCxnSpPr/>
      </xdr:nvCxnSpPr>
      <xdr:spPr>
        <a:xfrm>
          <a:off x="13496925" y="5495930"/>
          <a:ext cx="6124575" cy="0"/>
        </a:xfrm>
        <a:prstGeom prst="straightConnector1">
          <a:avLst/>
        </a:prstGeom>
        <a:ln w="28575"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428626</xdr:colOff>
      <xdr:row>62</xdr:row>
      <xdr:rowOff>57149</xdr:rowOff>
    </xdr:from>
    <xdr:to>
      <xdr:col>20</xdr:col>
      <xdr:colOff>361950</xdr:colOff>
      <xdr:row>66</xdr:row>
      <xdr:rowOff>114300</xdr:rowOff>
    </xdr:to>
    <xdr:sp macro="" textlink="">
      <xdr:nvSpPr>
        <xdr:cNvPr id="32" name="Flowchart: Terminator 31"/>
        <xdr:cNvSpPr/>
      </xdr:nvSpPr>
      <xdr:spPr>
        <a:xfrm>
          <a:off x="12334876" y="11868149"/>
          <a:ext cx="2257424" cy="819151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Deaerator</a:t>
          </a:r>
        </a:p>
      </xdr:txBody>
    </xdr:sp>
    <xdr:clientData/>
  </xdr:twoCellAnchor>
  <xdr:twoCellAnchor>
    <xdr:from>
      <xdr:col>27</xdr:col>
      <xdr:colOff>95250</xdr:colOff>
      <xdr:row>53</xdr:row>
      <xdr:rowOff>38100</xdr:rowOff>
    </xdr:from>
    <xdr:to>
      <xdr:col>29</xdr:col>
      <xdr:colOff>0</xdr:colOff>
      <xdr:row>53</xdr:row>
      <xdr:rowOff>38101</xdr:rowOff>
    </xdr:to>
    <xdr:cxnSp macro="">
      <xdr:nvCxnSpPr>
        <xdr:cNvPr id="35" name="Straight Arrow Connector 34"/>
        <xdr:cNvCxnSpPr/>
      </xdr:nvCxnSpPr>
      <xdr:spPr>
        <a:xfrm>
          <a:off x="19069050" y="10134600"/>
          <a:ext cx="83820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734876</xdr:colOff>
      <xdr:row>20</xdr:row>
      <xdr:rowOff>57150</xdr:rowOff>
    </xdr:from>
    <xdr:to>
      <xdr:col>23</xdr:col>
      <xdr:colOff>734876</xdr:colOff>
      <xdr:row>28</xdr:row>
      <xdr:rowOff>76200</xdr:rowOff>
    </xdr:to>
    <xdr:cxnSp macro="">
      <xdr:nvCxnSpPr>
        <xdr:cNvPr id="38" name="Straight Arrow Connector 37"/>
        <xdr:cNvCxnSpPr/>
      </xdr:nvCxnSpPr>
      <xdr:spPr>
        <a:xfrm>
          <a:off x="17175026" y="3867150"/>
          <a:ext cx="0" cy="154305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723900</xdr:colOff>
      <xdr:row>38</xdr:row>
      <xdr:rowOff>38100</xdr:rowOff>
    </xdr:from>
    <xdr:to>
      <xdr:col>23</xdr:col>
      <xdr:colOff>723900</xdr:colOff>
      <xdr:row>52</xdr:row>
      <xdr:rowOff>76200</xdr:rowOff>
    </xdr:to>
    <xdr:cxnSp macro="">
      <xdr:nvCxnSpPr>
        <xdr:cNvPr id="40" name="Straight Arrow Connector 39"/>
        <xdr:cNvCxnSpPr/>
      </xdr:nvCxnSpPr>
      <xdr:spPr>
        <a:xfrm>
          <a:off x="17097375" y="7277100"/>
          <a:ext cx="0" cy="27051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314325</xdr:colOff>
      <xdr:row>63</xdr:row>
      <xdr:rowOff>45946</xdr:rowOff>
    </xdr:from>
    <xdr:to>
      <xdr:col>28</xdr:col>
      <xdr:colOff>438150</xdr:colOff>
      <xdr:row>63</xdr:row>
      <xdr:rowOff>45946</xdr:rowOff>
    </xdr:to>
    <xdr:cxnSp macro="">
      <xdr:nvCxnSpPr>
        <xdr:cNvPr id="41" name="Straight Arrow Connector 40"/>
        <xdr:cNvCxnSpPr/>
      </xdr:nvCxnSpPr>
      <xdr:spPr>
        <a:xfrm flipH="1">
          <a:off x="14544675" y="12047446"/>
          <a:ext cx="53340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</xdr:colOff>
      <xdr:row>37</xdr:row>
      <xdr:rowOff>152400</xdr:rowOff>
    </xdr:from>
    <xdr:to>
      <xdr:col>19</xdr:col>
      <xdr:colOff>14287</xdr:colOff>
      <xdr:row>62</xdr:row>
      <xdr:rowOff>57150</xdr:rowOff>
    </xdr:to>
    <xdr:cxnSp macro="">
      <xdr:nvCxnSpPr>
        <xdr:cNvPr id="42" name="Straight Arrow Connector 41"/>
        <xdr:cNvCxnSpPr/>
      </xdr:nvCxnSpPr>
      <xdr:spPr>
        <a:xfrm>
          <a:off x="13501687" y="7200900"/>
          <a:ext cx="0" cy="46672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152400</xdr:colOff>
      <xdr:row>65</xdr:row>
      <xdr:rowOff>157888</xdr:rowOff>
    </xdr:from>
    <xdr:to>
      <xdr:col>17</xdr:col>
      <xdr:colOff>533400</xdr:colOff>
      <xdr:row>65</xdr:row>
      <xdr:rowOff>157888</xdr:rowOff>
    </xdr:to>
    <xdr:cxnSp macro="">
      <xdr:nvCxnSpPr>
        <xdr:cNvPr id="43" name="Straight Arrow Connector 42"/>
        <xdr:cNvCxnSpPr>
          <a:endCxn id="72" idx="6"/>
        </xdr:cNvCxnSpPr>
      </xdr:nvCxnSpPr>
      <xdr:spPr>
        <a:xfrm flipH="1">
          <a:off x="9315450" y="12540388"/>
          <a:ext cx="3124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647700</xdr:colOff>
      <xdr:row>65</xdr:row>
      <xdr:rowOff>152402</xdr:rowOff>
    </xdr:from>
    <xdr:to>
      <xdr:col>12</xdr:col>
      <xdr:colOff>447678</xdr:colOff>
      <xdr:row>65</xdr:row>
      <xdr:rowOff>152403</xdr:rowOff>
    </xdr:to>
    <xdr:cxnSp macro="">
      <xdr:nvCxnSpPr>
        <xdr:cNvPr id="44" name="Straight Arrow Connector 43"/>
        <xdr:cNvCxnSpPr/>
      </xdr:nvCxnSpPr>
      <xdr:spPr>
        <a:xfrm flipH="1" flipV="1">
          <a:off x="5067300" y="12534902"/>
          <a:ext cx="3848103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666750</xdr:colOff>
      <xdr:row>5</xdr:row>
      <xdr:rowOff>19051</xdr:rowOff>
    </xdr:from>
    <xdr:to>
      <xdr:col>8</xdr:col>
      <xdr:colOff>0</xdr:colOff>
      <xdr:row>5</xdr:row>
      <xdr:rowOff>19051</xdr:rowOff>
    </xdr:to>
    <xdr:cxnSp macro="">
      <xdr:nvCxnSpPr>
        <xdr:cNvPr id="45" name="Straight Arrow Connector 44"/>
        <xdr:cNvCxnSpPr/>
      </xdr:nvCxnSpPr>
      <xdr:spPr>
        <a:xfrm>
          <a:off x="5086350" y="971551"/>
          <a:ext cx="7239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666750</xdr:colOff>
      <xdr:row>5</xdr:row>
      <xdr:rowOff>9527</xdr:rowOff>
    </xdr:from>
    <xdr:to>
      <xdr:col>6</xdr:col>
      <xdr:colOff>666750</xdr:colOff>
      <xdr:row>44</xdr:row>
      <xdr:rowOff>142875</xdr:rowOff>
    </xdr:to>
    <xdr:cxnSp macro="">
      <xdr:nvCxnSpPr>
        <xdr:cNvPr id="46" name="Straight Arrow Connector 45"/>
        <xdr:cNvCxnSpPr>
          <a:stCxn id="47" idx="0"/>
        </xdr:cNvCxnSpPr>
      </xdr:nvCxnSpPr>
      <xdr:spPr>
        <a:xfrm flipV="1">
          <a:off x="5086350" y="962027"/>
          <a:ext cx="0" cy="756284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44</xdr:row>
      <xdr:rowOff>142875</xdr:rowOff>
    </xdr:from>
    <xdr:to>
      <xdr:col>7</xdr:col>
      <xdr:colOff>114300</xdr:colOff>
      <xdr:row>49</xdr:row>
      <xdr:rowOff>104775</xdr:rowOff>
    </xdr:to>
    <xdr:sp macro="" textlink="">
      <xdr:nvSpPr>
        <xdr:cNvPr id="47" name="Rounded Rectangle 46"/>
        <xdr:cNvSpPr/>
      </xdr:nvSpPr>
      <xdr:spPr>
        <a:xfrm>
          <a:off x="4962525" y="8524875"/>
          <a:ext cx="247650" cy="914400"/>
        </a:xfrm>
        <a:prstGeom prst="roundRect">
          <a:avLst/>
        </a:prstGeom>
      </xdr:spPr>
      <xdr:style>
        <a:lnRef idx="2">
          <a:schemeClr val="accent3"/>
        </a:lnRef>
        <a:fillRef idx="1002">
          <a:schemeClr val="dk2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vert270" wrap="square" lIns="0" tIns="0" rIns="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>
              <a:solidFill>
                <a:schemeClr val="bg1">
                  <a:lumMod val="100000"/>
                </a:schemeClr>
              </a:solidFill>
              <a:latin typeface="+mn-lt"/>
              <a:ea typeface="+mn-ea"/>
              <a:cs typeface="+mn-cs"/>
            </a:rPr>
            <a:t>HP Heater</a:t>
          </a:r>
        </a:p>
      </xdr:txBody>
    </xdr:sp>
    <xdr:clientData/>
  </xdr:twoCellAnchor>
  <xdr:twoCellAnchor>
    <xdr:from>
      <xdr:col>6</xdr:col>
      <xdr:colOff>666750</xdr:colOff>
      <xdr:row>49</xdr:row>
      <xdr:rowOff>104775</xdr:rowOff>
    </xdr:from>
    <xdr:to>
      <xdr:col>6</xdr:col>
      <xdr:colOff>666750</xdr:colOff>
      <xdr:row>65</xdr:row>
      <xdr:rowOff>142875</xdr:rowOff>
    </xdr:to>
    <xdr:cxnSp macro="">
      <xdr:nvCxnSpPr>
        <xdr:cNvPr id="48" name="Straight Arrow Connector 47"/>
        <xdr:cNvCxnSpPr>
          <a:endCxn id="47" idx="2"/>
        </xdr:cNvCxnSpPr>
      </xdr:nvCxnSpPr>
      <xdr:spPr>
        <a:xfrm flipV="1">
          <a:off x="5086350" y="9439275"/>
          <a:ext cx="0" cy="30861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201476</xdr:colOff>
      <xdr:row>38</xdr:row>
      <xdr:rowOff>38100</xdr:rowOff>
    </xdr:from>
    <xdr:to>
      <xdr:col>20</xdr:col>
      <xdr:colOff>201476</xdr:colOff>
      <xdr:row>45</xdr:row>
      <xdr:rowOff>123825</xdr:rowOff>
    </xdr:to>
    <xdr:cxnSp macro="">
      <xdr:nvCxnSpPr>
        <xdr:cNvPr id="49" name="Straight Arrow Connector 48"/>
        <xdr:cNvCxnSpPr/>
      </xdr:nvCxnSpPr>
      <xdr:spPr>
        <a:xfrm>
          <a:off x="14431826" y="7277100"/>
          <a:ext cx="0" cy="14192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123826</xdr:colOff>
      <xdr:row>45</xdr:row>
      <xdr:rowOff>114302</xdr:rowOff>
    </xdr:from>
    <xdr:to>
      <xdr:col>18</xdr:col>
      <xdr:colOff>619125</xdr:colOff>
      <xdr:row>45</xdr:row>
      <xdr:rowOff>114302</xdr:rowOff>
    </xdr:to>
    <xdr:cxnSp macro="">
      <xdr:nvCxnSpPr>
        <xdr:cNvPr id="50" name="Straight Arrow Connector 49"/>
        <xdr:cNvCxnSpPr/>
      </xdr:nvCxnSpPr>
      <xdr:spPr>
        <a:xfrm flipH="1">
          <a:off x="5219701" y="8686802"/>
          <a:ext cx="819149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152400</xdr:colOff>
      <xdr:row>48</xdr:row>
      <xdr:rowOff>180975</xdr:rowOff>
    </xdr:from>
    <xdr:to>
      <xdr:col>18</xdr:col>
      <xdr:colOff>361950</xdr:colOff>
      <xdr:row>48</xdr:row>
      <xdr:rowOff>180975</xdr:rowOff>
    </xdr:to>
    <xdr:cxnSp macro="">
      <xdr:nvCxnSpPr>
        <xdr:cNvPr id="51" name="Straight Arrow Connector 50"/>
        <xdr:cNvCxnSpPr/>
      </xdr:nvCxnSpPr>
      <xdr:spPr>
        <a:xfrm>
          <a:off x="5248275" y="9324975"/>
          <a:ext cx="79057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361732</xdr:colOff>
      <xdr:row>48</xdr:row>
      <xdr:rowOff>180975</xdr:rowOff>
    </xdr:from>
    <xdr:to>
      <xdr:col>18</xdr:col>
      <xdr:colOff>376238</xdr:colOff>
      <xdr:row>62</xdr:row>
      <xdr:rowOff>47625</xdr:rowOff>
    </xdr:to>
    <xdr:cxnSp macro="">
      <xdr:nvCxnSpPr>
        <xdr:cNvPr id="52" name="Straight Arrow Connector 51"/>
        <xdr:cNvCxnSpPr/>
      </xdr:nvCxnSpPr>
      <xdr:spPr>
        <a:xfrm flipH="1">
          <a:off x="13153807" y="9324975"/>
          <a:ext cx="14506" cy="25336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5</xdr:row>
      <xdr:rowOff>19050</xdr:rowOff>
    </xdr:from>
    <xdr:to>
      <xdr:col>11</xdr:col>
      <xdr:colOff>9525</xdr:colOff>
      <xdr:row>5</xdr:row>
      <xdr:rowOff>19051</xdr:rowOff>
    </xdr:to>
    <xdr:cxnSp macro="">
      <xdr:nvCxnSpPr>
        <xdr:cNvPr id="53" name="Straight Arrow Connector 52"/>
        <xdr:cNvCxnSpPr/>
      </xdr:nvCxnSpPr>
      <xdr:spPr>
        <a:xfrm flipV="1">
          <a:off x="7162800" y="971550"/>
          <a:ext cx="619125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49</xdr:row>
      <xdr:rowOff>38100</xdr:rowOff>
    </xdr:from>
    <xdr:to>
      <xdr:col>12</xdr:col>
      <xdr:colOff>9525</xdr:colOff>
      <xdr:row>57</xdr:row>
      <xdr:rowOff>38100</xdr:rowOff>
    </xdr:to>
    <xdr:cxnSp macro="">
      <xdr:nvCxnSpPr>
        <xdr:cNvPr id="54" name="Straight Arrow Connector 53"/>
        <xdr:cNvCxnSpPr/>
      </xdr:nvCxnSpPr>
      <xdr:spPr>
        <a:xfrm>
          <a:off x="8477250" y="9372600"/>
          <a:ext cx="0" cy="15240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595477</xdr:colOff>
      <xdr:row>4</xdr:row>
      <xdr:rowOff>47625</xdr:rowOff>
    </xdr:from>
    <xdr:to>
      <xdr:col>16</xdr:col>
      <xdr:colOff>600056</xdr:colOff>
      <xdr:row>17</xdr:row>
      <xdr:rowOff>114300</xdr:rowOff>
    </xdr:to>
    <xdr:cxnSp macro="">
      <xdr:nvCxnSpPr>
        <xdr:cNvPr id="55" name="Straight Arrow Connector 54"/>
        <xdr:cNvCxnSpPr>
          <a:endCxn id="24" idx="0"/>
        </xdr:cNvCxnSpPr>
      </xdr:nvCxnSpPr>
      <xdr:spPr>
        <a:xfrm>
          <a:off x="11892127" y="809625"/>
          <a:ext cx="4579" cy="25431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433552</xdr:colOff>
      <xdr:row>36</xdr:row>
      <xdr:rowOff>57150</xdr:rowOff>
    </xdr:from>
    <xdr:to>
      <xdr:col>28</xdr:col>
      <xdr:colOff>433552</xdr:colOff>
      <xdr:row>37</xdr:row>
      <xdr:rowOff>153133</xdr:rowOff>
    </xdr:to>
    <xdr:cxnSp macro="">
      <xdr:nvCxnSpPr>
        <xdr:cNvPr id="57" name="Straight Arrow Connector 56"/>
        <xdr:cNvCxnSpPr/>
      </xdr:nvCxnSpPr>
      <xdr:spPr>
        <a:xfrm flipV="1">
          <a:off x="19788352" y="6915150"/>
          <a:ext cx="0" cy="28648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443077</xdr:colOff>
      <xdr:row>27</xdr:row>
      <xdr:rowOff>47626</xdr:rowOff>
    </xdr:from>
    <xdr:to>
      <xdr:col>28</xdr:col>
      <xdr:colOff>443077</xdr:colOff>
      <xdr:row>28</xdr:row>
      <xdr:rowOff>161925</xdr:rowOff>
    </xdr:to>
    <xdr:cxnSp macro="">
      <xdr:nvCxnSpPr>
        <xdr:cNvPr id="58" name="Straight Arrow Connector 57"/>
        <xdr:cNvCxnSpPr/>
      </xdr:nvCxnSpPr>
      <xdr:spPr>
        <a:xfrm flipV="1">
          <a:off x="19626427" y="5191126"/>
          <a:ext cx="0" cy="3047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52</xdr:row>
      <xdr:rowOff>66675</xdr:rowOff>
    </xdr:from>
    <xdr:to>
      <xdr:col>23</xdr:col>
      <xdr:colOff>723900</xdr:colOff>
      <xdr:row>52</xdr:row>
      <xdr:rowOff>66675</xdr:rowOff>
    </xdr:to>
    <xdr:cxnSp macro="">
      <xdr:nvCxnSpPr>
        <xdr:cNvPr id="59" name="Straight Arrow Connector 58"/>
        <xdr:cNvCxnSpPr/>
      </xdr:nvCxnSpPr>
      <xdr:spPr>
        <a:xfrm flipH="1">
          <a:off x="13877925" y="9972675"/>
          <a:ext cx="3219450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395045</xdr:colOff>
      <xdr:row>52</xdr:row>
      <xdr:rowOff>66675</xdr:rowOff>
    </xdr:from>
    <xdr:to>
      <xdr:col>19</xdr:col>
      <xdr:colOff>395045</xdr:colOff>
      <xdr:row>62</xdr:row>
      <xdr:rowOff>76200</xdr:rowOff>
    </xdr:to>
    <xdr:cxnSp macro="">
      <xdr:nvCxnSpPr>
        <xdr:cNvPr id="61" name="Straight Arrow Connector 60"/>
        <xdr:cNvCxnSpPr/>
      </xdr:nvCxnSpPr>
      <xdr:spPr>
        <a:xfrm>
          <a:off x="13882445" y="9972675"/>
          <a:ext cx="0" cy="1914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695325</xdr:colOff>
      <xdr:row>57</xdr:row>
      <xdr:rowOff>5042</xdr:rowOff>
    </xdr:from>
    <xdr:to>
      <xdr:col>27</xdr:col>
      <xdr:colOff>19050</xdr:colOff>
      <xdr:row>57</xdr:row>
      <xdr:rowOff>5042</xdr:rowOff>
    </xdr:to>
    <xdr:cxnSp macro="">
      <xdr:nvCxnSpPr>
        <xdr:cNvPr id="63" name="Straight Arrow Connector 62"/>
        <xdr:cNvCxnSpPr/>
      </xdr:nvCxnSpPr>
      <xdr:spPr>
        <a:xfrm>
          <a:off x="14182725" y="10863542"/>
          <a:ext cx="4810125" cy="0"/>
        </a:xfrm>
        <a:prstGeom prst="straightConnector1">
          <a:avLst/>
        </a:prstGeom>
        <a:ln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411905</xdr:colOff>
      <xdr:row>52</xdr:row>
      <xdr:rowOff>107230</xdr:rowOff>
    </xdr:from>
    <xdr:to>
      <xdr:col>27</xdr:col>
      <xdr:colOff>76763</xdr:colOff>
      <xdr:row>53</xdr:row>
      <xdr:rowOff>73485</xdr:rowOff>
    </xdr:to>
    <xdr:sp macro="" textlink="">
      <xdr:nvSpPr>
        <xdr:cNvPr id="64" name="Pentagon 63"/>
        <xdr:cNvSpPr/>
      </xdr:nvSpPr>
      <xdr:spPr>
        <a:xfrm rot="16200000">
          <a:off x="18820669" y="10025816"/>
          <a:ext cx="156755" cy="131583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611051</xdr:colOff>
      <xdr:row>40</xdr:row>
      <xdr:rowOff>152399</xdr:rowOff>
    </xdr:from>
    <xdr:to>
      <xdr:col>24</xdr:col>
      <xdr:colOff>426405</xdr:colOff>
      <xdr:row>42</xdr:row>
      <xdr:rowOff>47624</xdr:rowOff>
    </xdr:to>
    <xdr:grpSp>
      <xdr:nvGrpSpPr>
        <xdr:cNvPr id="65" name="Group 64"/>
        <xdr:cNvGrpSpPr/>
      </xdr:nvGrpSpPr>
      <xdr:grpSpPr>
        <a:xfrm>
          <a:off x="17051201" y="7772399"/>
          <a:ext cx="558304" cy="276225"/>
          <a:chOff x="17584601" y="9429750"/>
          <a:chExt cx="770074" cy="381000"/>
        </a:xfrm>
      </xdr:grpSpPr>
      <xdr:sp macro="" textlink="">
        <xdr:nvSpPr>
          <xdr:cNvPr id="66" name="Flowchart: Connector 65"/>
          <xdr:cNvSpPr/>
        </xdr:nvSpPr>
        <xdr:spPr>
          <a:xfrm>
            <a:off x="17584601" y="9429750"/>
            <a:ext cx="381000" cy="381000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67" name="Straight Arrow Connector 66"/>
          <xdr:cNvCxnSpPr/>
        </xdr:nvCxnSpPr>
        <xdr:spPr>
          <a:xfrm>
            <a:off x="17649825" y="9484564"/>
            <a:ext cx="704850" cy="0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" name="Straight Arrow Connector 67"/>
          <xdr:cNvCxnSpPr/>
        </xdr:nvCxnSpPr>
        <xdr:spPr>
          <a:xfrm>
            <a:off x="17649825" y="9750565"/>
            <a:ext cx="685800" cy="0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" name="Straight Arrow Connector 68"/>
          <xdr:cNvCxnSpPr>
            <a:stCxn id="66" idx="3"/>
          </xdr:cNvCxnSpPr>
        </xdr:nvCxnSpPr>
        <xdr:spPr>
          <a:xfrm flipV="1">
            <a:off x="17640261" y="9610398"/>
            <a:ext cx="142914" cy="144556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" name="Straight Arrow Connector 69"/>
          <xdr:cNvCxnSpPr>
            <a:endCxn id="66" idx="1"/>
          </xdr:cNvCxnSpPr>
        </xdr:nvCxnSpPr>
        <xdr:spPr>
          <a:xfrm flipH="1" flipV="1">
            <a:off x="17640261" y="9485546"/>
            <a:ext cx="142914" cy="127734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468176</xdr:colOff>
      <xdr:row>65</xdr:row>
      <xdr:rowOff>10976</xdr:rowOff>
    </xdr:from>
    <xdr:to>
      <xdr:col>13</xdr:col>
      <xdr:colOff>152400</xdr:colOff>
      <xdr:row>66</xdr:row>
      <xdr:rowOff>114300</xdr:rowOff>
    </xdr:to>
    <xdr:grpSp>
      <xdr:nvGrpSpPr>
        <xdr:cNvPr id="71" name="Group 70"/>
        <xdr:cNvGrpSpPr/>
      </xdr:nvGrpSpPr>
      <xdr:grpSpPr>
        <a:xfrm>
          <a:off x="8935901" y="12393476"/>
          <a:ext cx="379549" cy="293824"/>
          <a:chOff x="9459776" y="10212251"/>
          <a:chExt cx="379549" cy="293824"/>
        </a:xfrm>
      </xdr:grpSpPr>
      <xdr:sp macro="" textlink="">
        <xdr:nvSpPr>
          <xdr:cNvPr id="72" name="Flowchart: Connector 71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73" name="Straight Arrow Connector 72"/>
          <xdr:cNvCxnSpPr>
            <a:stCxn id="72" idx="2"/>
            <a:endCxn id="72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" name="Straight Arrow Connector 73"/>
          <xdr:cNvCxnSpPr>
            <a:stCxn id="72" idx="2"/>
            <a:endCxn id="72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476250</xdr:colOff>
      <xdr:row>22</xdr:row>
      <xdr:rowOff>9525</xdr:rowOff>
    </xdr:from>
    <xdr:to>
      <xdr:col>11</xdr:col>
      <xdr:colOff>152400</xdr:colOff>
      <xdr:row>25</xdr:row>
      <xdr:rowOff>19050</xdr:rowOff>
    </xdr:to>
    <xdr:sp macro="" textlink="">
      <xdr:nvSpPr>
        <xdr:cNvPr id="75" name="Rectangle 74"/>
        <xdr:cNvSpPr/>
      </xdr:nvSpPr>
      <xdr:spPr>
        <a:xfrm>
          <a:off x="7629525" y="4200525"/>
          <a:ext cx="29527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800"/>
            <a:t>BD FT</a:t>
          </a:r>
        </a:p>
      </xdr:txBody>
    </xdr:sp>
    <xdr:clientData/>
  </xdr:twoCellAnchor>
  <xdr:twoCellAnchor>
    <xdr:from>
      <xdr:col>11</xdr:col>
      <xdr:colOff>0</xdr:colOff>
      <xdr:row>5</xdr:row>
      <xdr:rowOff>15420</xdr:rowOff>
    </xdr:from>
    <xdr:to>
      <xdr:col>11</xdr:col>
      <xdr:colOff>1</xdr:colOff>
      <xdr:row>22</xdr:row>
      <xdr:rowOff>0</xdr:rowOff>
    </xdr:to>
    <xdr:cxnSp macro="">
      <xdr:nvCxnSpPr>
        <xdr:cNvPr id="76" name="Straight Arrow Connector 75"/>
        <xdr:cNvCxnSpPr/>
      </xdr:nvCxnSpPr>
      <xdr:spPr>
        <a:xfrm flipH="1">
          <a:off x="7772400" y="967920"/>
          <a:ext cx="1" cy="322308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22</xdr:row>
      <xdr:rowOff>95251</xdr:rowOff>
    </xdr:from>
    <xdr:to>
      <xdr:col>12</xdr:col>
      <xdr:colOff>19050</xdr:colOff>
      <xdr:row>22</xdr:row>
      <xdr:rowOff>95251</xdr:rowOff>
    </xdr:to>
    <xdr:cxnSp macro="">
      <xdr:nvCxnSpPr>
        <xdr:cNvPr id="77" name="Straight Arrow Connector 76"/>
        <xdr:cNvCxnSpPr/>
      </xdr:nvCxnSpPr>
      <xdr:spPr>
        <a:xfrm>
          <a:off x="7924800" y="4286251"/>
          <a:ext cx="5619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22</xdr:row>
      <xdr:rowOff>90621</xdr:rowOff>
    </xdr:from>
    <xdr:to>
      <xdr:col>12</xdr:col>
      <xdr:colOff>9525</xdr:colOff>
      <xdr:row>45</xdr:row>
      <xdr:rowOff>38100</xdr:rowOff>
    </xdr:to>
    <xdr:cxnSp macro="">
      <xdr:nvCxnSpPr>
        <xdr:cNvPr id="78" name="Straight Arrow Connector 77"/>
        <xdr:cNvCxnSpPr/>
      </xdr:nvCxnSpPr>
      <xdr:spPr>
        <a:xfrm>
          <a:off x="8477250" y="4281621"/>
          <a:ext cx="0" cy="432897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45</xdr:row>
      <xdr:rowOff>171450</xdr:rowOff>
    </xdr:from>
    <xdr:to>
      <xdr:col>12</xdr:col>
      <xdr:colOff>9525</xdr:colOff>
      <xdr:row>48</xdr:row>
      <xdr:rowOff>123825</xdr:rowOff>
    </xdr:to>
    <xdr:cxnSp macro="">
      <xdr:nvCxnSpPr>
        <xdr:cNvPr id="79" name="Straight Arrow Connector 78"/>
        <xdr:cNvCxnSpPr/>
      </xdr:nvCxnSpPr>
      <xdr:spPr>
        <a:xfrm>
          <a:off x="8477250" y="8743950"/>
          <a:ext cx="0" cy="5238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57</xdr:row>
      <xdr:rowOff>47625</xdr:rowOff>
    </xdr:from>
    <xdr:to>
      <xdr:col>18</xdr:col>
      <xdr:colOff>28575</xdr:colOff>
      <xdr:row>57</xdr:row>
      <xdr:rowOff>47625</xdr:rowOff>
    </xdr:to>
    <xdr:cxnSp macro="">
      <xdr:nvCxnSpPr>
        <xdr:cNvPr id="80" name="Straight Arrow Connector 79"/>
        <xdr:cNvCxnSpPr/>
      </xdr:nvCxnSpPr>
      <xdr:spPr>
        <a:xfrm>
          <a:off x="8486775" y="10906125"/>
          <a:ext cx="4333875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28575</xdr:colOff>
      <xdr:row>57</xdr:row>
      <xdr:rowOff>38100</xdr:rowOff>
    </xdr:from>
    <xdr:to>
      <xdr:col>18</xdr:col>
      <xdr:colOff>28575</xdr:colOff>
      <xdr:row>62</xdr:row>
      <xdr:rowOff>47625</xdr:rowOff>
    </xdr:to>
    <xdr:cxnSp macro="">
      <xdr:nvCxnSpPr>
        <xdr:cNvPr id="81" name="Straight Arrow Connector 80"/>
        <xdr:cNvCxnSpPr/>
      </xdr:nvCxnSpPr>
      <xdr:spPr>
        <a:xfrm>
          <a:off x="12820650" y="10896600"/>
          <a:ext cx="0" cy="962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19050</xdr:colOff>
      <xdr:row>17</xdr:row>
      <xdr:rowOff>152400</xdr:rowOff>
    </xdr:from>
    <xdr:to>
      <xdr:col>28</xdr:col>
      <xdr:colOff>400050</xdr:colOff>
      <xdr:row>17</xdr:row>
      <xdr:rowOff>152400</xdr:rowOff>
    </xdr:to>
    <xdr:cxnSp macro="">
      <xdr:nvCxnSpPr>
        <xdr:cNvPr id="83" name="Straight Arrow Connector 82"/>
        <xdr:cNvCxnSpPr/>
      </xdr:nvCxnSpPr>
      <xdr:spPr>
        <a:xfrm>
          <a:off x="18735675" y="3390900"/>
          <a:ext cx="847725" cy="0"/>
        </a:xfrm>
        <a:prstGeom prst="straightConnector1">
          <a:avLst/>
        </a:prstGeom>
        <a:ln>
          <a:prstDash val="dash"/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419100</xdr:colOff>
      <xdr:row>14</xdr:row>
      <xdr:rowOff>44824</xdr:rowOff>
    </xdr:from>
    <xdr:to>
      <xdr:col>28</xdr:col>
      <xdr:colOff>419100</xdr:colOff>
      <xdr:row>22</xdr:row>
      <xdr:rowOff>0</xdr:rowOff>
    </xdr:to>
    <xdr:cxnSp macro="">
      <xdr:nvCxnSpPr>
        <xdr:cNvPr id="84" name="Straight Arrow Connector 83"/>
        <xdr:cNvCxnSpPr/>
      </xdr:nvCxnSpPr>
      <xdr:spPr>
        <a:xfrm>
          <a:off x="19602450" y="2711824"/>
          <a:ext cx="0" cy="1479176"/>
        </a:xfrm>
        <a:prstGeom prst="straightConnector1">
          <a:avLst/>
        </a:prstGeom>
        <a:ln>
          <a:prstDash val="dash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657225</xdr:colOff>
      <xdr:row>19</xdr:row>
      <xdr:rowOff>114300</xdr:rowOff>
    </xdr:from>
    <xdr:to>
      <xdr:col>26</xdr:col>
      <xdr:colOff>666750</xdr:colOff>
      <xdr:row>19</xdr:row>
      <xdr:rowOff>114300</xdr:rowOff>
    </xdr:to>
    <xdr:cxnSp macro="">
      <xdr:nvCxnSpPr>
        <xdr:cNvPr id="85" name="Straight Arrow Connector 84"/>
        <xdr:cNvCxnSpPr/>
      </xdr:nvCxnSpPr>
      <xdr:spPr>
        <a:xfrm>
          <a:off x="18945225" y="3733800"/>
          <a:ext cx="9525" cy="0"/>
        </a:xfrm>
        <a:prstGeom prst="straightConnector1">
          <a:avLst/>
        </a:prstGeom>
        <a:ln>
          <a:prstDash val="dash"/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390525</xdr:colOff>
      <xdr:row>32</xdr:row>
      <xdr:rowOff>9525</xdr:rowOff>
    </xdr:from>
    <xdr:to>
      <xdr:col>29</xdr:col>
      <xdr:colOff>9525</xdr:colOff>
      <xdr:row>32</xdr:row>
      <xdr:rowOff>9525</xdr:rowOff>
    </xdr:to>
    <xdr:cxnSp macro="">
      <xdr:nvCxnSpPr>
        <xdr:cNvPr id="86" name="Straight Arrow Connector 85"/>
        <xdr:cNvCxnSpPr/>
      </xdr:nvCxnSpPr>
      <xdr:spPr>
        <a:xfrm>
          <a:off x="19364325" y="6105525"/>
          <a:ext cx="552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45</xdr:row>
      <xdr:rowOff>114300</xdr:rowOff>
    </xdr:from>
    <xdr:to>
      <xdr:col>20</xdr:col>
      <xdr:colOff>200025</xdr:colOff>
      <xdr:row>45</xdr:row>
      <xdr:rowOff>114300</xdr:rowOff>
    </xdr:to>
    <xdr:cxnSp macro="">
      <xdr:nvCxnSpPr>
        <xdr:cNvPr id="87" name="Straight Arrow Connector 86"/>
        <xdr:cNvCxnSpPr/>
      </xdr:nvCxnSpPr>
      <xdr:spPr>
        <a:xfrm>
          <a:off x="13573125" y="8686800"/>
          <a:ext cx="857250" cy="0"/>
        </a:xfrm>
        <a:prstGeom prst="straightConnector1">
          <a:avLst/>
        </a:prstGeom>
        <a:ln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390563</xdr:colOff>
      <xdr:row>28</xdr:row>
      <xdr:rowOff>161925</xdr:rowOff>
    </xdr:from>
    <xdr:to>
      <xdr:col>27</xdr:col>
      <xdr:colOff>390563</xdr:colOff>
      <xdr:row>32</xdr:row>
      <xdr:rowOff>19050</xdr:rowOff>
    </xdr:to>
    <xdr:cxnSp macro="">
      <xdr:nvCxnSpPr>
        <xdr:cNvPr id="88" name="Straight Arrow Connector 87"/>
        <xdr:cNvCxnSpPr/>
      </xdr:nvCxnSpPr>
      <xdr:spPr>
        <a:xfrm>
          <a:off x="19364363" y="5495925"/>
          <a:ext cx="0" cy="6191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458235</xdr:colOff>
      <xdr:row>37</xdr:row>
      <xdr:rowOff>161925</xdr:rowOff>
    </xdr:from>
    <xdr:to>
      <xdr:col>27</xdr:col>
      <xdr:colOff>10972</xdr:colOff>
      <xdr:row>52</xdr:row>
      <xdr:rowOff>107230</xdr:rowOff>
    </xdr:to>
    <xdr:cxnSp macro="">
      <xdr:nvCxnSpPr>
        <xdr:cNvPr id="89" name="Straight Arrow Connector 88"/>
        <xdr:cNvCxnSpPr>
          <a:endCxn id="64" idx="3"/>
        </xdr:cNvCxnSpPr>
      </xdr:nvCxnSpPr>
      <xdr:spPr>
        <a:xfrm>
          <a:off x="18965310" y="7210425"/>
          <a:ext cx="19462" cy="280280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730063</xdr:colOff>
      <xdr:row>29</xdr:row>
      <xdr:rowOff>43143</xdr:rowOff>
    </xdr:from>
    <xdr:to>
      <xdr:col>23</xdr:col>
      <xdr:colOff>730063</xdr:colOff>
      <xdr:row>37</xdr:row>
      <xdr:rowOff>66675</xdr:rowOff>
    </xdr:to>
    <xdr:cxnSp macro="">
      <xdr:nvCxnSpPr>
        <xdr:cNvPr id="90" name="Straight Arrow Connector 89"/>
        <xdr:cNvCxnSpPr/>
      </xdr:nvCxnSpPr>
      <xdr:spPr>
        <a:xfrm>
          <a:off x="17103538" y="5567643"/>
          <a:ext cx="0" cy="1547532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47625</xdr:colOff>
      <xdr:row>63</xdr:row>
      <xdr:rowOff>52667</xdr:rowOff>
    </xdr:from>
    <xdr:to>
      <xdr:col>17</xdr:col>
      <xdr:colOff>504825</xdr:colOff>
      <xdr:row>63</xdr:row>
      <xdr:rowOff>52667</xdr:rowOff>
    </xdr:to>
    <xdr:cxnSp macro="">
      <xdr:nvCxnSpPr>
        <xdr:cNvPr id="91" name="Straight Arrow Connector 90"/>
        <xdr:cNvCxnSpPr/>
      </xdr:nvCxnSpPr>
      <xdr:spPr>
        <a:xfrm>
          <a:off x="11344275" y="12054167"/>
          <a:ext cx="1066800" cy="0"/>
        </a:xfrm>
        <a:prstGeom prst="straightConnector1">
          <a:avLst/>
        </a:prstGeom>
        <a:ln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34062</xdr:colOff>
      <xdr:row>25</xdr:row>
      <xdr:rowOff>123825</xdr:rowOff>
    </xdr:from>
    <xdr:to>
      <xdr:col>16</xdr:col>
      <xdr:colOff>34062</xdr:colOff>
      <xdr:row>37</xdr:row>
      <xdr:rowOff>66676</xdr:rowOff>
    </xdr:to>
    <xdr:cxnSp macro="">
      <xdr:nvCxnSpPr>
        <xdr:cNvPr id="92" name="Straight Arrow Connector 91"/>
        <xdr:cNvCxnSpPr/>
      </xdr:nvCxnSpPr>
      <xdr:spPr>
        <a:xfrm flipV="1">
          <a:off x="11330712" y="4886325"/>
          <a:ext cx="0" cy="222885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57</xdr:row>
      <xdr:rowOff>104775</xdr:rowOff>
    </xdr:from>
    <xdr:to>
      <xdr:col>16</xdr:col>
      <xdr:colOff>34738</xdr:colOff>
      <xdr:row>63</xdr:row>
      <xdr:rowOff>57150</xdr:rowOff>
    </xdr:to>
    <xdr:cxnSp macro="">
      <xdr:nvCxnSpPr>
        <xdr:cNvPr id="93" name="Straight Arrow Connector 92"/>
        <xdr:cNvCxnSpPr/>
      </xdr:nvCxnSpPr>
      <xdr:spPr>
        <a:xfrm>
          <a:off x="11331388" y="10963275"/>
          <a:ext cx="0" cy="10953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49</xdr:row>
      <xdr:rowOff>47625</xdr:rowOff>
    </xdr:from>
    <xdr:to>
      <xdr:col>16</xdr:col>
      <xdr:colOff>34738</xdr:colOff>
      <xdr:row>56</xdr:row>
      <xdr:rowOff>171450</xdr:rowOff>
    </xdr:to>
    <xdr:cxnSp macro="">
      <xdr:nvCxnSpPr>
        <xdr:cNvPr id="94" name="Straight Arrow Connector 93"/>
        <xdr:cNvCxnSpPr/>
      </xdr:nvCxnSpPr>
      <xdr:spPr>
        <a:xfrm>
          <a:off x="11331388" y="9382125"/>
          <a:ext cx="0" cy="14573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45</xdr:row>
      <xdr:rowOff>171450</xdr:rowOff>
    </xdr:from>
    <xdr:to>
      <xdr:col>16</xdr:col>
      <xdr:colOff>34738</xdr:colOff>
      <xdr:row>48</xdr:row>
      <xdr:rowOff>123825</xdr:rowOff>
    </xdr:to>
    <xdr:cxnSp macro="">
      <xdr:nvCxnSpPr>
        <xdr:cNvPr id="95" name="Straight Arrow Connector 94"/>
        <xdr:cNvCxnSpPr/>
      </xdr:nvCxnSpPr>
      <xdr:spPr>
        <a:xfrm>
          <a:off x="11331388" y="8743950"/>
          <a:ext cx="0" cy="5238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34738</xdr:colOff>
      <xdr:row>38</xdr:row>
      <xdr:rowOff>28575</xdr:rowOff>
    </xdr:from>
    <xdr:to>
      <xdr:col>16</xdr:col>
      <xdr:colOff>34738</xdr:colOff>
      <xdr:row>45</xdr:row>
      <xdr:rowOff>57150</xdr:rowOff>
    </xdr:to>
    <xdr:cxnSp macro="">
      <xdr:nvCxnSpPr>
        <xdr:cNvPr id="96" name="Straight Arrow Connector 95"/>
        <xdr:cNvCxnSpPr/>
      </xdr:nvCxnSpPr>
      <xdr:spPr>
        <a:xfrm>
          <a:off x="11331388" y="7267575"/>
          <a:ext cx="0" cy="13620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535730</xdr:colOff>
      <xdr:row>25</xdr:row>
      <xdr:rowOff>11980</xdr:rowOff>
    </xdr:from>
    <xdr:to>
      <xdr:col>17</xdr:col>
      <xdr:colOff>57713</xdr:colOff>
      <xdr:row>25</xdr:row>
      <xdr:rowOff>168735</xdr:rowOff>
    </xdr:to>
    <xdr:sp macro="" textlink="">
      <xdr:nvSpPr>
        <xdr:cNvPr id="97" name="Pentagon 96"/>
        <xdr:cNvSpPr/>
      </xdr:nvSpPr>
      <xdr:spPr>
        <a:xfrm rot="16200000">
          <a:off x="11819794" y="4787066"/>
          <a:ext cx="156755" cy="131583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47625</xdr:colOff>
      <xdr:row>25</xdr:row>
      <xdr:rowOff>123253</xdr:rowOff>
    </xdr:from>
    <xdr:to>
      <xdr:col>16</xdr:col>
      <xdr:colOff>535730</xdr:colOff>
      <xdr:row>25</xdr:row>
      <xdr:rowOff>123253</xdr:rowOff>
    </xdr:to>
    <xdr:cxnSp macro="">
      <xdr:nvCxnSpPr>
        <xdr:cNvPr id="98" name="Straight Arrow Connector 97"/>
        <xdr:cNvCxnSpPr>
          <a:endCxn id="97" idx="0"/>
        </xdr:cNvCxnSpPr>
      </xdr:nvCxnSpPr>
      <xdr:spPr>
        <a:xfrm>
          <a:off x="11344275" y="4885753"/>
          <a:ext cx="4881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496751</xdr:colOff>
      <xdr:row>62</xdr:row>
      <xdr:rowOff>182721</xdr:rowOff>
    </xdr:from>
    <xdr:to>
      <xdr:col>17</xdr:col>
      <xdr:colOff>57150</xdr:colOff>
      <xdr:row>63</xdr:row>
      <xdr:rowOff>123824</xdr:rowOff>
    </xdr:to>
    <xdr:grpSp>
      <xdr:nvGrpSpPr>
        <xdr:cNvPr id="99" name="Group 98"/>
        <xdr:cNvGrpSpPr/>
      </xdr:nvGrpSpPr>
      <xdr:grpSpPr>
        <a:xfrm>
          <a:off x="11793401" y="11993721"/>
          <a:ext cx="169999" cy="131603"/>
          <a:chOff x="9459776" y="10212251"/>
          <a:chExt cx="379549" cy="293824"/>
        </a:xfrm>
      </xdr:grpSpPr>
      <xdr:sp macro="" textlink="">
        <xdr:nvSpPr>
          <xdr:cNvPr id="100" name="Flowchart: Connector 99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101" name="Straight Arrow Connector 100"/>
          <xdr:cNvCxnSpPr>
            <a:stCxn id="100" idx="2"/>
            <a:endCxn id="100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" name="Straight Arrow Connector 101"/>
          <xdr:cNvCxnSpPr>
            <a:stCxn id="100" idx="2"/>
            <a:endCxn id="100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438150</xdr:colOff>
      <xdr:row>56</xdr:row>
      <xdr:rowOff>123826</xdr:rowOff>
    </xdr:from>
    <xdr:to>
      <xdr:col>20</xdr:col>
      <xdr:colOff>622708</xdr:colOff>
      <xdr:row>57</xdr:row>
      <xdr:rowOff>76200</xdr:rowOff>
    </xdr:to>
    <xdr:grpSp>
      <xdr:nvGrpSpPr>
        <xdr:cNvPr id="103" name="Group 102"/>
        <xdr:cNvGrpSpPr/>
      </xdr:nvGrpSpPr>
      <xdr:grpSpPr>
        <a:xfrm flipH="1">
          <a:off x="14668500" y="10791826"/>
          <a:ext cx="184558" cy="142874"/>
          <a:chOff x="9459776" y="10212251"/>
          <a:chExt cx="379549" cy="293824"/>
        </a:xfrm>
      </xdr:grpSpPr>
      <xdr:sp macro="" textlink="">
        <xdr:nvSpPr>
          <xdr:cNvPr id="104" name="Flowchart: Connector 103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105" name="Straight Arrow Connector 104"/>
          <xdr:cNvCxnSpPr>
            <a:stCxn id="104" idx="2"/>
            <a:endCxn id="104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Arrow Connector 105"/>
          <xdr:cNvCxnSpPr>
            <a:stCxn id="104" idx="2"/>
            <a:endCxn id="104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658286</xdr:colOff>
      <xdr:row>43</xdr:row>
      <xdr:rowOff>51749</xdr:rowOff>
    </xdr:from>
    <xdr:to>
      <xdr:col>24</xdr:col>
      <xdr:colOff>45501</xdr:colOff>
      <xdr:row>44</xdr:row>
      <xdr:rowOff>857</xdr:rowOff>
    </xdr:to>
    <xdr:grpSp>
      <xdr:nvGrpSpPr>
        <xdr:cNvPr id="107" name="Group 106"/>
        <xdr:cNvGrpSpPr/>
      </xdr:nvGrpSpPr>
      <xdr:grpSpPr>
        <a:xfrm rot="16200000">
          <a:off x="17093715" y="8247970"/>
          <a:ext cx="139608" cy="130165"/>
          <a:chOff x="9459776" y="10212251"/>
          <a:chExt cx="379549" cy="293824"/>
        </a:xfrm>
      </xdr:grpSpPr>
      <xdr:sp macro="" textlink="">
        <xdr:nvSpPr>
          <xdr:cNvPr id="108" name="Flowchart: Connector 107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109" name="Straight Arrow Connector 108"/>
          <xdr:cNvCxnSpPr>
            <a:stCxn id="108" idx="2"/>
            <a:endCxn id="108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" name="Straight Arrow Connector 109"/>
          <xdr:cNvCxnSpPr>
            <a:stCxn id="108" idx="2"/>
            <a:endCxn id="108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690321</xdr:colOff>
      <xdr:row>57</xdr:row>
      <xdr:rowOff>9525</xdr:rowOff>
    </xdr:from>
    <xdr:to>
      <xdr:col>19</xdr:col>
      <xdr:colOff>690321</xdr:colOff>
      <xdr:row>62</xdr:row>
      <xdr:rowOff>47625</xdr:rowOff>
    </xdr:to>
    <xdr:cxnSp macro="">
      <xdr:nvCxnSpPr>
        <xdr:cNvPr id="111" name="Straight Arrow Connector 110"/>
        <xdr:cNvCxnSpPr/>
      </xdr:nvCxnSpPr>
      <xdr:spPr>
        <a:xfrm>
          <a:off x="14177721" y="10868025"/>
          <a:ext cx="0" cy="99060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304800</xdr:colOff>
      <xdr:row>65</xdr:row>
      <xdr:rowOff>169771</xdr:rowOff>
    </xdr:from>
    <xdr:to>
      <xdr:col>28</xdr:col>
      <xdr:colOff>428626</xdr:colOff>
      <xdr:row>65</xdr:row>
      <xdr:rowOff>169771</xdr:rowOff>
    </xdr:to>
    <xdr:cxnSp macro="">
      <xdr:nvCxnSpPr>
        <xdr:cNvPr id="112" name="Straight Arrow Connector 111"/>
        <xdr:cNvCxnSpPr/>
      </xdr:nvCxnSpPr>
      <xdr:spPr>
        <a:xfrm flipH="1">
          <a:off x="14535150" y="12552271"/>
          <a:ext cx="533400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85725</xdr:colOff>
      <xdr:row>7</xdr:row>
      <xdr:rowOff>12424</xdr:rowOff>
    </xdr:from>
    <xdr:to>
      <xdr:col>28</xdr:col>
      <xdr:colOff>447675</xdr:colOff>
      <xdr:row>7</xdr:row>
      <xdr:rowOff>12424</xdr:rowOff>
    </xdr:to>
    <xdr:cxnSp macro="">
      <xdr:nvCxnSpPr>
        <xdr:cNvPr id="113" name="Straight Arrow Connector 112"/>
        <xdr:cNvCxnSpPr/>
      </xdr:nvCxnSpPr>
      <xdr:spPr>
        <a:xfrm>
          <a:off x="19526250" y="1345924"/>
          <a:ext cx="361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371475</xdr:colOff>
      <xdr:row>40</xdr:row>
      <xdr:rowOff>9525</xdr:rowOff>
    </xdr:from>
    <xdr:to>
      <xdr:col>29</xdr:col>
      <xdr:colOff>9525</xdr:colOff>
      <xdr:row>40</xdr:row>
      <xdr:rowOff>9525</xdr:rowOff>
    </xdr:to>
    <xdr:cxnSp macro="">
      <xdr:nvCxnSpPr>
        <xdr:cNvPr id="116" name="Straight Arrow Connector 115"/>
        <xdr:cNvCxnSpPr/>
      </xdr:nvCxnSpPr>
      <xdr:spPr>
        <a:xfrm>
          <a:off x="19259550" y="7629525"/>
          <a:ext cx="5715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381038</xdr:colOff>
      <xdr:row>37</xdr:row>
      <xdr:rowOff>161925</xdr:rowOff>
    </xdr:from>
    <xdr:to>
      <xdr:col>27</xdr:col>
      <xdr:colOff>381038</xdr:colOff>
      <xdr:row>40</xdr:row>
      <xdr:rowOff>19050</xdr:rowOff>
    </xdr:to>
    <xdr:cxnSp macro="">
      <xdr:nvCxnSpPr>
        <xdr:cNvPr id="117" name="Straight Arrow Connector 116"/>
        <xdr:cNvCxnSpPr/>
      </xdr:nvCxnSpPr>
      <xdr:spPr>
        <a:xfrm>
          <a:off x="19269113" y="7210425"/>
          <a:ext cx="0" cy="4286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12</xdr:row>
          <xdr:rowOff>104775</xdr:rowOff>
        </xdr:from>
        <xdr:to>
          <xdr:col>9</xdr:col>
          <xdr:colOff>266700</xdr:colOff>
          <xdr:row>13</xdr:row>
          <xdr:rowOff>104775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333375</xdr:colOff>
      <xdr:row>10</xdr:row>
      <xdr:rowOff>28575</xdr:rowOff>
    </xdr:from>
    <xdr:to>
      <xdr:col>4</xdr:col>
      <xdr:colOff>333376</xdr:colOff>
      <xdr:row>83</xdr:row>
      <xdr:rowOff>180975</xdr:rowOff>
    </xdr:to>
    <xdr:cxnSp macro="">
      <xdr:nvCxnSpPr>
        <xdr:cNvPr id="228" name="Straight Arrow Connector 227"/>
        <xdr:cNvCxnSpPr/>
      </xdr:nvCxnSpPr>
      <xdr:spPr>
        <a:xfrm flipH="1">
          <a:off x="3533775" y="1933575"/>
          <a:ext cx="1" cy="140589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542925</xdr:colOff>
      <xdr:row>0</xdr:row>
      <xdr:rowOff>142875</xdr:rowOff>
    </xdr:from>
    <xdr:to>
      <xdr:col>18</xdr:col>
      <xdr:colOff>571500</xdr:colOff>
      <xdr:row>3</xdr:row>
      <xdr:rowOff>66675</xdr:rowOff>
    </xdr:to>
    <xdr:sp macro="" textlink="">
      <xdr:nvSpPr>
        <xdr:cNvPr id="229" name="TextBox 228"/>
        <xdr:cNvSpPr txBox="1"/>
      </xdr:nvSpPr>
      <xdr:spPr>
        <a:xfrm>
          <a:off x="10401300" y="142875"/>
          <a:ext cx="2962275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/>
            <a:t>ON</a:t>
          </a:r>
          <a:r>
            <a:rPr lang="en-US" sz="2800" baseline="0"/>
            <a:t> CROP SEASON</a:t>
          </a:r>
          <a:endParaRPr lang="en-US" sz="2800"/>
        </a:p>
      </xdr:txBody>
    </xdr:sp>
    <xdr:clientData/>
  </xdr:twoCellAnchor>
  <xdr:twoCellAnchor>
    <xdr:from>
      <xdr:col>14</xdr:col>
      <xdr:colOff>542924</xdr:colOff>
      <xdr:row>79</xdr:row>
      <xdr:rowOff>142875</xdr:rowOff>
    </xdr:from>
    <xdr:to>
      <xdr:col>19</xdr:col>
      <xdr:colOff>95249</xdr:colOff>
      <xdr:row>82</xdr:row>
      <xdr:rowOff>66675</xdr:rowOff>
    </xdr:to>
    <xdr:sp macro="" textlink="">
      <xdr:nvSpPr>
        <xdr:cNvPr id="230" name="TextBox 229"/>
        <xdr:cNvSpPr txBox="1"/>
      </xdr:nvSpPr>
      <xdr:spPr>
        <a:xfrm>
          <a:off x="10401299" y="15192375"/>
          <a:ext cx="318135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/>
            <a:t>OFF</a:t>
          </a:r>
          <a:r>
            <a:rPr lang="en-US" sz="2800" baseline="0"/>
            <a:t> CROP SEASON</a:t>
          </a:r>
          <a:endParaRPr lang="en-US" sz="2800"/>
        </a:p>
      </xdr:txBody>
    </xdr:sp>
    <xdr:clientData/>
  </xdr:twoCellAnchor>
  <xdr:twoCellAnchor>
    <xdr:from>
      <xdr:col>11</xdr:col>
      <xdr:colOff>0</xdr:colOff>
      <xdr:row>25</xdr:row>
      <xdr:rowOff>4896</xdr:rowOff>
    </xdr:from>
    <xdr:to>
      <xdr:col>11</xdr:col>
      <xdr:colOff>0</xdr:colOff>
      <xdr:row>45</xdr:row>
      <xdr:rowOff>47625</xdr:rowOff>
    </xdr:to>
    <xdr:cxnSp macro="">
      <xdr:nvCxnSpPr>
        <xdr:cNvPr id="231" name="Straight Arrow Connector 230"/>
        <xdr:cNvCxnSpPr/>
      </xdr:nvCxnSpPr>
      <xdr:spPr>
        <a:xfrm>
          <a:off x="7772400" y="4767396"/>
          <a:ext cx="0" cy="385272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45</xdr:row>
      <xdr:rowOff>157296</xdr:rowOff>
    </xdr:from>
    <xdr:to>
      <xdr:col>11</xdr:col>
      <xdr:colOff>0</xdr:colOff>
      <xdr:row>48</xdr:row>
      <xdr:rowOff>123825</xdr:rowOff>
    </xdr:to>
    <xdr:cxnSp macro="">
      <xdr:nvCxnSpPr>
        <xdr:cNvPr id="232" name="Straight Arrow Connector 231"/>
        <xdr:cNvCxnSpPr/>
      </xdr:nvCxnSpPr>
      <xdr:spPr>
        <a:xfrm>
          <a:off x="7772400" y="8729796"/>
          <a:ext cx="0" cy="53802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49</xdr:row>
      <xdr:rowOff>52521</xdr:rowOff>
    </xdr:from>
    <xdr:to>
      <xdr:col>11</xdr:col>
      <xdr:colOff>0</xdr:colOff>
      <xdr:row>65</xdr:row>
      <xdr:rowOff>85725</xdr:rowOff>
    </xdr:to>
    <xdr:cxnSp macro="">
      <xdr:nvCxnSpPr>
        <xdr:cNvPr id="233" name="Straight Arrow Connector 232"/>
        <xdr:cNvCxnSpPr/>
      </xdr:nvCxnSpPr>
      <xdr:spPr>
        <a:xfrm>
          <a:off x="7772400" y="9387021"/>
          <a:ext cx="0" cy="3081204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66</xdr:row>
      <xdr:rowOff>57150</xdr:rowOff>
    </xdr:from>
    <xdr:to>
      <xdr:col>11</xdr:col>
      <xdr:colOff>0</xdr:colOff>
      <xdr:row>74</xdr:row>
      <xdr:rowOff>95250</xdr:rowOff>
    </xdr:to>
    <xdr:cxnSp macro="">
      <xdr:nvCxnSpPr>
        <xdr:cNvPr id="234" name="Straight Arrow Connector 233"/>
        <xdr:cNvCxnSpPr/>
      </xdr:nvCxnSpPr>
      <xdr:spPr>
        <a:xfrm>
          <a:off x="7772400" y="12630150"/>
          <a:ext cx="0" cy="15621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74</xdr:row>
      <xdr:rowOff>104775</xdr:rowOff>
    </xdr:from>
    <xdr:to>
      <xdr:col>24</xdr:col>
      <xdr:colOff>276225</xdr:colOff>
      <xdr:row>74</xdr:row>
      <xdr:rowOff>104775</xdr:rowOff>
    </xdr:to>
    <xdr:cxnSp macro="">
      <xdr:nvCxnSpPr>
        <xdr:cNvPr id="235" name="Straight Arrow Connector 234"/>
        <xdr:cNvCxnSpPr/>
      </xdr:nvCxnSpPr>
      <xdr:spPr>
        <a:xfrm>
          <a:off x="7781925" y="13820775"/>
          <a:ext cx="9477375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200025</xdr:colOff>
      <xdr:row>65</xdr:row>
      <xdr:rowOff>47625</xdr:rowOff>
    </xdr:from>
    <xdr:to>
      <xdr:col>25</xdr:col>
      <xdr:colOff>95250</xdr:colOff>
      <xdr:row>66</xdr:row>
      <xdr:rowOff>57150</xdr:rowOff>
    </xdr:to>
    <xdr:sp macro="" textlink="">
      <xdr:nvSpPr>
        <xdr:cNvPr id="236" name="Rounded Rectangle 235"/>
        <xdr:cNvSpPr/>
      </xdr:nvSpPr>
      <xdr:spPr>
        <a:xfrm>
          <a:off x="17316450" y="12430125"/>
          <a:ext cx="590550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HX</a:t>
          </a:r>
        </a:p>
      </xdr:txBody>
    </xdr:sp>
    <xdr:clientData/>
  </xdr:twoCellAnchor>
  <xdr:twoCellAnchor>
    <xdr:from>
      <xdr:col>24</xdr:col>
      <xdr:colOff>272187</xdr:colOff>
      <xdr:row>66</xdr:row>
      <xdr:rowOff>95250</xdr:rowOff>
    </xdr:from>
    <xdr:to>
      <xdr:col>24</xdr:col>
      <xdr:colOff>272187</xdr:colOff>
      <xdr:row>74</xdr:row>
      <xdr:rowOff>114300</xdr:rowOff>
    </xdr:to>
    <xdr:cxnSp macro="">
      <xdr:nvCxnSpPr>
        <xdr:cNvPr id="237" name="Straight Arrow Connector 236"/>
        <xdr:cNvCxnSpPr/>
      </xdr:nvCxnSpPr>
      <xdr:spPr>
        <a:xfrm flipV="1">
          <a:off x="17388612" y="12668250"/>
          <a:ext cx="0" cy="15430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666750</xdr:colOff>
      <xdr:row>66</xdr:row>
      <xdr:rowOff>66675</xdr:rowOff>
    </xdr:from>
    <xdr:to>
      <xdr:col>24</xdr:col>
      <xdr:colOff>679913</xdr:colOff>
      <xdr:row>74</xdr:row>
      <xdr:rowOff>38100</xdr:rowOff>
    </xdr:to>
    <xdr:cxnSp macro="">
      <xdr:nvCxnSpPr>
        <xdr:cNvPr id="238" name="Straight Arrow Connector 237"/>
        <xdr:cNvCxnSpPr/>
      </xdr:nvCxnSpPr>
      <xdr:spPr>
        <a:xfrm flipH="1">
          <a:off x="17849850" y="12639675"/>
          <a:ext cx="13163" cy="14954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571500</xdr:colOff>
      <xdr:row>66</xdr:row>
      <xdr:rowOff>38100</xdr:rowOff>
    </xdr:from>
    <xdr:to>
      <xdr:col>17</xdr:col>
      <xdr:colOff>571500</xdr:colOff>
      <xdr:row>69</xdr:row>
      <xdr:rowOff>180975</xdr:rowOff>
    </xdr:to>
    <xdr:cxnSp macro="">
      <xdr:nvCxnSpPr>
        <xdr:cNvPr id="247" name="Straight Arrow Connector 246"/>
        <xdr:cNvCxnSpPr/>
      </xdr:nvCxnSpPr>
      <xdr:spPr>
        <a:xfrm>
          <a:off x="12477750" y="12611100"/>
          <a:ext cx="0" cy="7143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685838</xdr:colOff>
      <xdr:row>29</xdr:row>
      <xdr:rowOff>47625</xdr:rowOff>
    </xdr:from>
    <xdr:to>
      <xdr:col>21</xdr:col>
      <xdr:colOff>685838</xdr:colOff>
      <xdr:row>37</xdr:row>
      <xdr:rowOff>142875</xdr:rowOff>
    </xdr:to>
    <xdr:cxnSp macro="">
      <xdr:nvCxnSpPr>
        <xdr:cNvPr id="260" name="Straight Arrow Connector 259"/>
        <xdr:cNvCxnSpPr/>
      </xdr:nvCxnSpPr>
      <xdr:spPr>
        <a:xfrm>
          <a:off x="15659138" y="5572125"/>
          <a:ext cx="0" cy="16192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201476</xdr:colOff>
      <xdr:row>28</xdr:row>
      <xdr:rowOff>161925</xdr:rowOff>
    </xdr:from>
    <xdr:to>
      <xdr:col>20</xdr:col>
      <xdr:colOff>201476</xdr:colOff>
      <xdr:row>37</xdr:row>
      <xdr:rowOff>66675</xdr:rowOff>
    </xdr:to>
    <xdr:cxnSp macro="">
      <xdr:nvCxnSpPr>
        <xdr:cNvPr id="284" name="Straight Arrow Connector 283"/>
        <xdr:cNvCxnSpPr/>
      </xdr:nvCxnSpPr>
      <xdr:spPr>
        <a:xfrm>
          <a:off x="14431826" y="5495925"/>
          <a:ext cx="0" cy="161925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687251</xdr:colOff>
      <xdr:row>19</xdr:row>
      <xdr:rowOff>66675</xdr:rowOff>
    </xdr:from>
    <xdr:to>
      <xdr:col>21</xdr:col>
      <xdr:colOff>687251</xdr:colOff>
      <xdr:row>28</xdr:row>
      <xdr:rowOff>104775</xdr:rowOff>
    </xdr:to>
    <xdr:cxnSp macro="">
      <xdr:nvCxnSpPr>
        <xdr:cNvPr id="287" name="Straight Arrow Connector 286"/>
        <xdr:cNvCxnSpPr/>
      </xdr:nvCxnSpPr>
      <xdr:spPr>
        <a:xfrm>
          <a:off x="15660551" y="3686175"/>
          <a:ext cx="0" cy="175260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15012</xdr:colOff>
      <xdr:row>53</xdr:row>
      <xdr:rowOff>66676</xdr:rowOff>
    </xdr:from>
    <xdr:to>
      <xdr:col>27</xdr:col>
      <xdr:colOff>15012</xdr:colOff>
      <xdr:row>57</xdr:row>
      <xdr:rowOff>0</xdr:rowOff>
    </xdr:to>
    <xdr:cxnSp macro="">
      <xdr:nvCxnSpPr>
        <xdr:cNvPr id="351" name="Straight Arrow Connector 350"/>
        <xdr:cNvCxnSpPr/>
      </xdr:nvCxnSpPr>
      <xdr:spPr>
        <a:xfrm flipV="1">
          <a:off x="18988812" y="10163176"/>
          <a:ext cx="0" cy="6953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333375</xdr:colOff>
      <xdr:row>84</xdr:row>
      <xdr:rowOff>1</xdr:rowOff>
    </xdr:from>
    <xdr:to>
      <xdr:col>8</xdr:col>
      <xdr:colOff>0</xdr:colOff>
      <xdr:row>84</xdr:row>
      <xdr:rowOff>1</xdr:rowOff>
    </xdr:to>
    <xdr:cxnSp macro="">
      <xdr:nvCxnSpPr>
        <xdr:cNvPr id="495" name="Straight Arrow Connector 494"/>
        <xdr:cNvCxnSpPr/>
      </xdr:nvCxnSpPr>
      <xdr:spPr>
        <a:xfrm>
          <a:off x="3533775" y="16002001"/>
          <a:ext cx="22764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638175</xdr:colOff>
      <xdr:row>84</xdr:row>
      <xdr:rowOff>28575</xdr:rowOff>
    </xdr:from>
    <xdr:to>
      <xdr:col>29</xdr:col>
      <xdr:colOff>95250</xdr:colOff>
      <xdr:row>84</xdr:row>
      <xdr:rowOff>28575</xdr:rowOff>
    </xdr:to>
    <xdr:cxnSp macro="">
      <xdr:nvCxnSpPr>
        <xdr:cNvPr id="497" name="Straight Arrow Connector 496"/>
        <xdr:cNvCxnSpPr/>
      </xdr:nvCxnSpPr>
      <xdr:spPr>
        <a:xfrm>
          <a:off x="7143750" y="790575"/>
          <a:ext cx="13230225" cy="0"/>
        </a:xfrm>
        <a:prstGeom prst="straightConnector1">
          <a:avLst/>
        </a:prstGeom>
        <a:ln w="38100">
          <a:headEnd type="none"/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62077</xdr:colOff>
      <xdr:row>84</xdr:row>
      <xdr:rowOff>47625</xdr:rowOff>
    </xdr:from>
    <xdr:to>
      <xdr:col>28</xdr:col>
      <xdr:colOff>62077</xdr:colOff>
      <xdr:row>87</xdr:row>
      <xdr:rowOff>16565</xdr:rowOff>
    </xdr:to>
    <xdr:cxnSp macro="">
      <xdr:nvCxnSpPr>
        <xdr:cNvPr id="498" name="Straight Arrow Connector 497"/>
        <xdr:cNvCxnSpPr/>
      </xdr:nvCxnSpPr>
      <xdr:spPr>
        <a:xfrm>
          <a:off x="19874077" y="809625"/>
          <a:ext cx="0" cy="54044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82</xdr:row>
      <xdr:rowOff>120194</xdr:rowOff>
    </xdr:from>
    <xdr:to>
      <xdr:col>10</xdr:col>
      <xdr:colOff>0</xdr:colOff>
      <xdr:row>86</xdr:row>
      <xdr:rowOff>95250</xdr:rowOff>
    </xdr:to>
    <xdr:sp macro="" textlink="">
      <xdr:nvSpPr>
        <xdr:cNvPr id="499" name="Rectangle 498"/>
        <xdr:cNvSpPr/>
      </xdr:nvSpPr>
      <xdr:spPr>
        <a:xfrm>
          <a:off x="5810250" y="501194"/>
          <a:ext cx="1343025" cy="73705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2000" b="1"/>
            <a:t>Boilers</a:t>
          </a:r>
          <a:endParaRPr lang="en-US" sz="1100" b="1"/>
        </a:p>
      </xdr:txBody>
    </xdr:sp>
    <xdr:clientData/>
  </xdr:twoCellAnchor>
  <xdr:twoCellAnchor>
    <xdr:from>
      <xdr:col>14</xdr:col>
      <xdr:colOff>0</xdr:colOff>
      <xdr:row>97</xdr:row>
      <xdr:rowOff>0</xdr:rowOff>
    </xdr:from>
    <xdr:to>
      <xdr:col>15</xdr:col>
      <xdr:colOff>0</xdr:colOff>
      <xdr:row>99</xdr:row>
      <xdr:rowOff>133350</xdr:rowOff>
    </xdr:to>
    <xdr:sp macro="" textlink="">
      <xdr:nvSpPr>
        <xdr:cNvPr id="500" name="Flowchart: Manual Operation 22"/>
        <xdr:cNvSpPr/>
      </xdr:nvSpPr>
      <xdr:spPr>
        <a:xfrm rot="5400000">
          <a:off x="9972675" y="3124200"/>
          <a:ext cx="514350" cy="742950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16519"/>
            <a:gd name="connsiteY0" fmla="*/ 0 h 10080"/>
            <a:gd name="connsiteX1" fmla="*/ 16519 w 16519"/>
            <a:gd name="connsiteY1" fmla="*/ 80 h 10080"/>
            <a:gd name="connsiteX2" fmla="*/ 14519 w 16519"/>
            <a:gd name="connsiteY2" fmla="*/ 10080 h 10080"/>
            <a:gd name="connsiteX3" fmla="*/ 8519 w 16519"/>
            <a:gd name="connsiteY3" fmla="*/ 10080 h 10080"/>
            <a:gd name="connsiteX4" fmla="*/ 0 w 16519"/>
            <a:gd name="connsiteY4" fmla="*/ 0 h 10080"/>
            <a:gd name="connsiteX0" fmla="*/ 0 w 20371"/>
            <a:gd name="connsiteY0" fmla="*/ 0 h 10080"/>
            <a:gd name="connsiteX1" fmla="*/ 20371 w 20371"/>
            <a:gd name="connsiteY1" fmla="*/ 0 h 10080"/>
            <a:gd name="connsiteX2" fmla="*/ 14519 w 20371"/>
            <a:gd name="connsiteY2" fmla="*/ 10080 h 10080"/>
            <a:gd name="connsiteX3" fmla="*/ 8519 w 20371"/>
            <a:gd name="connsiteY3" fmla="*/ 10080 h 10080"/>
            <a:gd name="connsiteX4" fmla="*/ 0 w 20371"/>
            <a:gd name="connsiteY4" fmla="*/ 0 h 10080"/>
            <a:gd name="connsiteX0" fmla="*/ 0 w 17408"/>
            <a:gd name="connsiteY0" fmla="*/ 159 h 10080"/>
            <a:gd name="connsiteX1" fmla="*/ 17408 w 17408"/>
            <a:gd name="connsiteY1" fmla="*/ 0 h 10080"/>
            <a:gd name="connsiteX2" fmla="*/ 11556 w 17408"/>
            <a:gd name="connsiteY2" fmla="*/ 10080 h 10080"/>
            <a:gd name="connsiteX3" fmla="*/ 5556 w 17408"/>
            <a:gd name="connsiteY3" fmla="*/ 10080 h 10080"/>
            <a:gd name="connsiteX4" fmla="*/ 0 w 17408"/>
            <a:gd name="connsiteY4" fmla="*/ 159 h 10080"/>
            <a:gd name="connsiteX0" fmla="*/ 0 w 17556"/>
            <a:gd name="connsiteY0" fmla="*/ 0 h 10080"/>
            <a:gd name="connsiteX1" fmla="*/ 17556 w 17556"/>
            <a:gd name="connsiteY1" fmla="*/ 0 h 10080"/>
            <a:gd name="connsiteX2" fmla="*/ 11704 w 17556"/>
            <a:gd name="connsiteY2" fmla="*/ 10080 h 10080"/>
            <a:gd name="connsiteX3" fmla="*/ 5704 w 17556"/>
            <a:gd name="connsiteY3" fmla="*/ 10080 h 10080"/>
            <a:gd name="connsiteX4" fmla="*/ 0 w 17556"/>
            <a:gd name="connsiteY4" fmla="*/ 0 h 100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7556" h="10080">
              <a:moveTo>
                <a:pt x="0" y="0"/>
              </a:moveTo>
              <a:lnTo>
                <a:pt x="17556" y="0"/>
              </a:lnTo>
              <a:lnTo>
                <a:pt x="11704" y="10080"/>
              </a:lnTo>
              <a:lnTo>
                <a:pt x="5704" y="10080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vert270" wrap="square" lIns="0" tIns="0" rIns="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indent="0" algn="ctr"/>
          <a:r>
            <a:rPr lang="en-U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             Turbine</a:t>
          </a:r>
          <a:endParaRPr lang="en-US" sz="1100" baseline="0">
            <a:solidFill>
              <a:schemeClr val="lt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685789</xdr:colOff>
      <xdr:row>94</xdr:row>
      <xdr:rowOff>152404</xdr:rowOff>
    </xdr:from>
    <xdr:to>
      <xdr:col>24</xdr:col>
      <xdr:colOff>609594</xdr:colOff>
      <xdr:row>100</xdr:row>
      <xdr:rowOff>47626</xdr:rowOff>
    </xdr:to>
    <xdr:grpSp>
      <xdr:nvGrpSpPr>
        <xdr:cNvPr id="501" name="Group 500"/>
        <xdr:cNvGrpSpPr/>
      </xdr:nvGrpSpPr>
      <xdr:grpSpPr>
        <a:xfrm>
          <a:off x="14173189" y="18059404"/>
          <a:ext cx="3619505" cy="1038222"/>
          <a:chOff x="12206283" y="2773821"/>
          <a:chExt cx="1672826" cy="1367020"/>
        </a:xfrm>
      </xdr:grpSpPr>
      <xdr:sp macro="" textlink="">
        <xdr:nvSpPr>
          <xdr:cNvPr id="502" name="Rectangle 501"/>
          <xdr:cNvSpPr/>
        </xdr:nvSpPr>
        <xdr:spPr>
          <a:xfrm>
            <a:off x="13587600" y="3363267"/>
            <a:ext cx="99825" cy="20540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sp macro="" textlink="">
        <xdr:nvSpPr>
          <xdr:cNvPr id="503" name="Flowchart: Manual Operation 22"/>
          <xdr:cNvSpPr/>
        </xdr:nvSpPr>
        <xdr:spPr>
          <a:xfrm rot="5400000">
            <a:off x="12216117" y="2763987"/>
            <a:ext cx="1367020" cy="1386687"/>
          </a:xfrm>
          <a:custGeom>
            <a:avLst/>
            <a:gdLst>
              <a:gd name="connsiteX0" fmla="*/ 0 w 10000"/>
              <a:gd name="connsiteY0" fmla="*/ 0 h 10000"/>
              <a:gd name="connsiteX1" fmla="*/ 10000 w 10000"/>
              <a:gd name="connsiteY1" fmla="*/ 0 h 10000"/>
              <a:gd name="connsiteX2" fmla="*/ 8000 w 10000"/>
              <a:gd name="connsiteY2" fmla="*/ 10000 h 10000"/>
              <a:gd name="connsiteX3" fmla="*/ 2000 w 10000"/>
              <a:gd name="connsiteY3" fmla="*/ 10000 h 10000"/>
              <a:gd name="connsiteX4" fmla="*/ 0 w 10000"/>
              <a:gd name="connsiteY4" fmla="*/ 0 h 10000"/>
              <a:gd name="connsiteX0" fmla="*/ 0 w 16519"/>
              <a:gd name="connsiteY0" fmla="*/ 0 h 10080"/>
              <a:gd name="connsiteX1" fmla="*/ 16519 w 16519"/>
              <a:gd name="connsiteY1" fmla="*/ 80 h 10080"/>
              <a:gd name="connsiteX2" fmla="*/ 14519 w 16519"/>
              <a:gd name="connsiteY2" fmla="*/ 10080 h 10080"/>
              <a:gd name="connsiteX3" fmla="*/ 8519 w 16519"/>
              <a:gd name="connsiteY3" fmla="*/ 10080 h 10080"/>
              <a:gd name="connsiteX4" fmla="*/ 0 w 16519"/>
              <a:gd name="connsiteY4" fmla="*/ 0 h 10080"/>
              <a:gd name="connsiteX0" fmla="*/ 0 w 20371"/>
              <a:gd name="connsiteY0" fmla="*/ 0 h 10080"/>
              <a:gd name="connsiteX1" fmla="*/ 20371 w 20371"/>
              <a:gd name="connsiteY1" fmla="*/ 0 h 10080"/>
              <a:gd name="connsiteX2" fmla="*/ 14519 w 20371"/>
              <a:gd name="connsiteY2" fmla="*/ 10080 h 10080"/>
              <a:gd name="connsiteX3" fmla="*/ 8519 w 20371"/>
              <a:gd name="connsiteY3" fmla="*/ 10080 h 10080"/>
              <a:gd name="connsiteX4" fmla="*/ 0 w 20371"/>
              <a:gd name="connsiteY4" fmla="*/ 0 h 10080"/>
              <a:gd name="connsiteX0" fmla="*/ 0 w 17408"/>
              <a:gd name="connsiteY0" fmla="*/ 159 h 10080"/>
              <a:gd name="connsiteX1" fmla="*/ 17408 w 17408"/>
              <a:gd name="connsiteY1" fmla="*/ 0 h 10080"/>
              <a:gd name="connsiteX2" fmla="*/ 11556 w 17408"/>
              <a:gd name="connsiteY2" fmla="*/ 10080 h 10080"/>
              <a:gd name="connsiteX3" fmla="*/ 5556 w 17408"/>
              <a:gd name="connsiteY3" fmla="*/ 10080 h 10080"/>
              <a:gd name="connsiteX4" fmla="*/ 0 w 17408"/>
              <a:gd name="connsiteY4" fmla="*/ 159 h 10080"/>
              <a:gd name="connsiteX0" fmla="*/ 0 w 17556"/>
              <a:gd name="connsiteY0" fmla="*/ 0 h 10080"/>
              <a:gd name="connsiteX1" fmla="*/ 17556 w 17556"/>
              <a:gd name="connsiteY1" fmla="*/ 0 h 10080"/>
              <a:gd name="connsiteX2" fmla="*/ 11704 w 17556"/>
              <a:gd name="connsiteY2" fmla="*/ 10080 h 10080"/>
              <a:gd name="connsiteX3" fmla="*/ 5704 w 17556"/>
              <a:gd name="connsiteY3" fmla="*/ 10080 h 10080"/>
              <a:gd name="connsiteX4" fmla="*/ 0 w 17556"/>
              <a:gd name="connsiteY4" fmla="*/ 0 h 100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556" h="10080">
                <a:moveTo>
                  <a:pt x="0" y="0"/>
                </a:moveTo>
                <a:lnTo>
                  <a:pt x="17556" y="0"/>
                </a:lnTo>
                <a:lnTo>
                  <a:pt x="11704" y="10080"/>
                </a:lnTo>
                <a:lnTo>
                  <a:pt x="5704" y="10080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vert270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l"/>
            <a:r>
              <a:rPr lang="en-US" sz="1050"/>
              <a:t>              Extraction-Cum-Condensing</a:t>
            </a:r>
            <a:r>
              <a:rPr lang="en-US" sz="1050" baseline="0"/>
              <a:t> Turbine</a:t>
            </a:r>
            <a:endParaRPr lang="en-US" sz="1050"/>
          </a:p>
        </xdr:txBody>
      </xdr:sp>
      <xdr:sp macro="" textlink="">
        <xdr:nvSpPr>
          <xdr:cNvPr id="504" name="Rectangle 503"/>
          <xdr:cNvSpPr/>
        </xdr:nvSpPr>
        <xdr:spPr>
          <a:xfrm>
            <a:off x="13677294" y="2823982"/>
            <a:ext cx="201815" cy="126669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r>
              <a:rPr lang="en-US" sz="1100"/>
              <a:t>G</a:t>
            </a:r>
          </a:p>
        </xdr:txBody>
      </xdr:sp>
    </xdr:grpSp>
    <xdr:clientData/>
  </xdr:twoCellAnchor>
  <xdr:twoCellAnchor>
    <xdr:from>
      <xdr:col>19</xdr:col>
      <xdr:colOff>685790</xdr:colOff>
      <xdr:row>84</xdr:row>
      <xdr:rowOff>28575</xdr:rowOff>
    </xdr:from>
    <xdr:to>
      <xdr:col>19</xdr:col>
      <xdr:colOff>704114</xdr:colOff>
      <xdr:row>96</xdr:row>
      <xdr:rowOff>108726</xdr:rowOff>
    </xdr:to>
    <xdr:cxnSp macro="">
      <xdr:nvCxnSpPr>
        <xdr:cNvPr id="505" name="Straight Arrow Connector 504"/>
        <xdr:cNvCxnSpPr>
          <a:endCxn id="503" idx="3"/>
        </xdr:cNvCxnSpPr>
      </xdr:nvCxnSpPr>
      <xdr:spPr>
        <a:xfrm flipH="1">
          <a:off x="14173190" y="790575"/>
          <a:ext cx="18324" cy="236615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84</xdr:row>
      <xdr:rowOff>38100</xdr:rowOff>
    </xdr:from>
    <xdr:to>
      <xdr:col>14</xdr:col>
      <xdr:colOff>9525</xdr:colOff>
      <xdr:row>97</xdr:row>
      <xdr:rowOff>167114</xdr:rowOff>
    </xdr:to>
    <xdr:cxnSp macro="">
      <xdr:nvCxnSpPr>
        <xdr:cNvPr id="506" name="Straight Arrow Connector 505"/>
        <xdr:cNvCxnSpPr>
          <a:endCxn id="500" idx="3"/>
        </xdr:cNvCxnSpPr>
      </xdr:nvCxnSpPr>
      <xdr:spPr>
        <a:xfrm flipH="1">
          <a:off x="9858375" y="800100"/>
          <a:ext cx="9525" cy="2605514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16</xdr:col>
      <xdr:colOff>523875</xdr:colOff>
      <xdr:row>97</xdr:row>
      <xdr:rowOff>114300</xdr:rowOff>
    </xdr:from>
    <xdr:to>
      <xdr:col>17</xdr:col>
      <xdr:colOff>66637</xdr:colOff>
      <xdr:row>99</xdr:row>
      <xdr:rowOff>19050</xdr:rowOff>
    </xdr:to>
    <xdr:sp macro="" textlink="">
      <xdr:nvSpPr>
        <xdr:cNvPr id="510" name="Flowchart: Collate 509"/>
        <xdr:cNvSpPr/>
      </xdr:nvSpPr>
      <xdr:spPr>
        <a:xfrm>
          <a:off x="11820525" y="3352800"/>
          <a:ext cx="152362" cy="285750"/>
        </a:xfrm>
        <a:prstGeom prst="flowChartCollate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 anchorCtr="0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591944</xdr:colOff>
      <xdr:row>99</xdr:row>
      <xdr:rowOff>85725</xdr:rowOff>
    </xdr:from>
    <xdr:to>
      <xdr:col>16</xdr:col>
      <xdr:colOff>608902</xdr:colOff>
      <xdr:row>117</xdr:row>
      <xdr:rowOff>152400</xdr:rowOff>
    </xdr:to>
    <xdr:cxnSp macro="">
      <xdr:nvCxnSpPr>
        <xdr:cNvPr id="511" name="Straight Arrow Connector 510"/>
        <xdr:cNvCxnSpPr/>
      </xdr:nvCxnSpPr>
      <xdr:spPr>
        <a:xfrm flipH="1">
          <a:off x="11888594" y="3705225"/>
          <a:ext cx="16958" cy="34956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14</xdr:col>
      <xdr:colOff>0</xdr:colOff>
      <xdr:row>117</xdr:row>
      <xdr:rowOff>151714</xdr:rowOff>
    </xdr:from>
    <xdr:to>
      <xdr:col>28</xdr:col>
      <xdr:colOff>447675</xdr:colOff>
      <xdr:row>117</xdr:row>
      <xdr:rowOff>151714</xdr:rowOff>
    </xdr:to>
    <xdr:cxnSp macro="">
      <xdr:nvCxnSpPr>
        <xdr:cNvPr id="514" name="Straight Arrow Connector 513"/>
        <xdr:cNvCxnSpPr/>
      </xdr:nvCxnSpPr>
      <xdr:spPr>
        <a:xfrm>
          <a:off x="9858375" y="7200214"/>
          <a:ext cx="10401300" cy="0"/>
        </a:xfrm>
        <a:prstGeom prst="straightConnector1">
          <a:avLst/>
        </a:prstGeom>
        <a:ln w="38100"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99</xdr:row>
      <xdr:rowOff>108196</xdr:rowOff>
    </xdr:from>
    <xdr:to>
      <xdr:col>15</xdr:col>
      <xdr:colOff>0</xdr:colOff>
      <xdr:row>117</xdr:row>
      <xdr:rowOff>142875</xdr:rowOff>
    </xdr:to>
    <xdr:cxnSp macro="">
      <xdr:nvCxnSpPr>
        <xdr:cNvPr id="515" name="Straight Arrow Connector 514"/>
        <xdr:cNvCxnSpPr/>
      </xdr:nvCxnSpPr>
      <xdr:spPr>
        <a:xfrm>
          <a:off x="10601325" y="3727696"/>
          <a:ext cx="0" cy="3463679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21</xdr:col>
      <xdr:colOff>19050</xdr:colOff>
      <xdr:row>99</xdr:row>
      <xdr:rowOff>0</xdr:rowOff>
    </xdr:from>
    <xdr:to>
      <xdr:col>21</xdr:col>
      <xdr:colOff>19050</xdr:colOff>
      <xdr:row>108</xdr:row>
      <xdr:rowOff>142875</xdr:rowOff>
    </xdr:to>
    <xdr:cxnSp macro="">
      <xdr:nvCxnSpPr>
        <xdr:cNvPr id="516" name="Straight Arrow Connector 515"/>
        <xdr:cNvCxnSpPr/>
      </xdr:nvCxnSpPr>
      <xdr:spPr>
        <a:xfrm>
          <a:off x="14992350" y="3619500"/>
          <a:ext cx="0" cy="18573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108</xdr:row>
      <xdr:rowOff>161930</xdr:rowOff>
    </xdr:from>
    <xdr:to>
      <xdr:col>28</xdr:col>
      <xdr:colOff>438150</xdr:colOff>
      <xdr:row>108</xdr:row>
      <xdr:rowOff>161930</xdr:rowOff>
    </xdr:to>
    <xdr:cxnSp macro="">
      <xdr:nvCxnSpPr>
        <xdr:cNvPr id="517" name="Straight Arrow Connector 516"/>
        <xdr:cNvCxnSpPr/>
      </xdr:nvCxnSpPr>
      <xdr:spPr>
        <a:xfrm>
          <a:off x="13496925" y="5495930"/>
          <a:ext cx="6753225" cy="0"/>
        </a:xfrm>
        <a:prstGeom prst="straightConnector1">
          <a:avLst/>
        </a:prstGeom>
        <a:ln w="28575"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428626</xdr:colOff>
      <xdr:row>142</xdr:row>
      <xdr:rowOff>57149</xdr:rowOff>
    </xdr:from>
    <xdr:to>
      <xdr:col>20</xdr:col>
      <xdr:colOff>361950</xdr:colOff>
      <xdr:row>146</xdr:row>
      <xdr:rowOff>114300</xdr:rowOff>
    </xdr:to>
    <xdr:sp macro="" textlink="">
      <xdr:nvSpPr>
        <xdr:cNvPr id="518" name="Flowchart: Terminator 517"/>
        <xdr:cNvSpPr/>
      </xdr:nvSpPr>
      <xdr:spPr>
        <a:xfrm>
          <a:off x="12334876" y="11868149"/>
          <a:ext cx="2257424" cy="819151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Deaerator</a:t>
          </a:r>
        </a:p>
      </xdr:txBody>
    </xdr:sp>
    <xdr:clientData/>
  </xdr:twoCellAnchor>
  <xdr:twoCellAnchor>
    <xdr:from>
      <xdr:col>27</xdr:col>
      <xdr:colOff>95250</xdr:colOff>
      <xdr:row>133</xdr:row>
      <xdr:rowOff>38100</xdr:rowOff>
    </xdr:from>
    <xdr:to>
      <xdr:col>29</xdr:col>
      <xdr:colOff>0</xdr:colOff>
      <xdr:row>133</xdr:row>
      <xdr:rowOff>38101</xdr:rowOff>
    </xdr:to>
    <xdr:cxnSp macro="">
      <xdr:nvCxnSpPr>
        <xdr:cNvPr id="520" name="Straight Arrow Connector 519"/>
        <xdr:cNvCxnSpPr/>
      </xdr:nvCxnSpPr>
      <xdr:spPr>
        <a:xfrm>
          <a:off x="19211925" y="10134600"/>
          <a:ext cx="1066800" cy="1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23</xdr:col>
      <xdr:colOff>734876</xdr:colOff>
      <xdr:row>100</xdr:row>
      <xdr:rowOff>57150</xdr:rowOff>
    </xdr:from>
    <xdr:to>
      <xdr:col>23</xdr:col>
      <xdr:colOff>734876</xdr:colOff>
      <xdr:row>108</xdr:row>
      <xdr:rowOff>76200</xdr:rowOff>
    </xdr:to>
    <xdr:cxnSp macro="">
      <xdr:nvCxnSpPr>
        <xdr:cNvPr id="521" name="Straight Arrow Connector 520"/>
        <xdr:cNvCxnSpPr/>
      </xdr:nvCxnSpPr>
      <xdr:spPr>
        <a:xfrm>
          <a:off x="17175026" y="3867150"/>
          <a:ext cx="0" cy="154305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723900</xdr:colOff>
      <xdr:row>118</xdr:row>
      <xdr:rowOff>38100</xdr:rowOff>
    </xdr:from>
    <xdr:to>
      <xdr:col>23</xdr:col>
      <xdr:colOff>723900</xdr:colOff>
      <xdr:row>132</xdr:row>
      <xdr:rowOff>76200</xdr:rowOff>
    </xdr:to>
    <xdr:cxnSp macro="">
      <xdr:nvCxnSpPr>
        <xdr:cNvPr id="522" name="Straight Arrow Connector 521"/>
        <xdr:cNvCxnSpPr/>
      </xdr:nvCxnSpPr>
      <xdr:spPr>
        <a:xfrm>
          <a:off x="17164050" y="7277100"/>
          <a:ext cx="0" cy="27051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314325</xdr:colOff>
      <xdr:row>143</xdr:row>
      <xdr:rowOff>45946</xdr:rowOff>
    </xdr:from>
    <xdr:to>
      <xdr:col>28</xdr:col>
      <xdr:colOff>438150</xdr:colOff>
      <xdr:row>143</xdr:row>
      <xdr:rowOff>45946</xdr:rowOff>
    </xdr:to>
    <xdr:cxnSp macro="">
      <xdr:nvCxnSpPr>
        <xdr:cNvPr id="523" name="Straight Arrow Connector 522"/>
        <xdr:cNvCxnSpPr/>
      </xdr:nvCxnSpPr>
      <xdr:spPr>
        <a:xfrm flipH="1">
          <a:off x="14544675" y="12047446"/>
          <a:ext cx="5705475" cy="0"/>
        </a:xfrm>
        <a:prstGeom prst="straightConnector1">
          <a:avLst/>
        </a:prstGeom>
        <a:ln>
          <a:headEnd type="none"/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19</xdr:col>
      <xdr:colOff>14287</xdr:colOff>
      <xdr:row>117</xdr:row>
      <xdr:rowOff>152400</xdr:rowOff>
    </xdr:from>
    <xdr:to>
      <xdr:col>19</xdr:col>
      <xdr:colOff>14287</xdr:colOff>
      <xdr:row>142</xdr:row>
      <xdr:rowOff>57150</xdr:rowOff>
    </xdr:to>
    <xdr:cxnSp macro="">
      <xdr:nvCxnSpPr>
        <xdr:cNvPr id="524" name="Straight Arrow Connector 523"/>
        <xdr:cNvCxnSpPr/>
      </xdr:nvCxnSpPr>
      <xdr:spPr>
        <a:xfrm>
          <a:off x="13501687" y="7200900"/>
          <a:ext cx="0" cy="46672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152400</xdr:colOff>
      <xdr:row>145</xdr:row>
      <xdr:rowOff>157888</xdr:rowOff>
    </xdr:from>
    <xdr:to>
      <xdr:col>17</xdr:col>
      <xdr:colOff>533400</xdr:colOff>
      <xdr:row>145</xdr:row>
      <xdr:rowOff>157888</xdr:rowOff>
    </xdr:to>
    <xdr:cxnSp macro="">
      <xdr:nvCxnSpPr>
        <xdr:cNvPr id="525" name="Straight Arrow Connector 524"/>
        <xdr:cNvCxnSpPr>
          <a:endCxn id="551" idx="6"/>
        </xdr:cNvCxnSpPr>
      </xdr:nvCxnSpPr>
      <xdr:spPr>
        <a:xfrm flipH="1">
          <a:off x="9315450" y="12540388"/>
          <a:ext cx="31242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647700</xdr:colOff>
      <xdr:row>145</xdr:row>
      <xdr:rowOff>152402</xdr:rowOff>
    </xdr:from>
    <xdr:to>
      <xdr:col>12</xdr:col>
      <xdr:colOff>447678</xdr:colOff>
      <xdr:row>145</xdr:row>
      <xdr:rowOff>152403</xdr:rowOff>
    </xdr:to>
    <xdr:cxnSp macro="">
      <xdr:nvCxnSpPr>
        <xdr:cNvPr id="526" name="Straight Arrow Connector 525"/>
        <xdr:cNvCxnSpPr/>
      </xdr:nvCxnSpPr>
      <xdr:spPr>
        <a:xfrm flipH="1" flipV="1">
          <a:off x="5067300" y="12534902"/>
          <a:ext cx="3848103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666750</xdr:colOff>
      <xdr:row>85</xdr:row>
      <xdr:rowOff>19051</xdr:rowOff>
    </xdr:from>
    <xdr:to>
      <xdr:col>8</xdr:col>
      <xdr:colOff>0</xdr:colOff>
      <xdr:row>85</xdr:row>
      <xdr:rowOff>19051</xdr:rowOff>
    </xdr:to>
    <xdr:cxnSp macro="">
      <xdr:nvCxnSpPr>
        <xdr:cNvPr id="527" name="Straight Arrow Connector 526"/>
        <xdr:cNvCxnSpPr/>
      </xdr:nvCxnSpPr>
      <xdr:spPr>
        <a:xfrm>
          <a:off x="5086350" y="971551"/>
          <a:ext cx="7239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666750</xdr:colOff>
      <xdr:row>85</xdr:row>
      <xdr:rowOff>9527</xdr:rowOff>
    </xdr:from>
    <xdr:to>
      <xdr:col>6</xdr:col>
      <xdr:colOff>666750</xdr:colOff>
      <xdr:row>124</xdr:row>
      <xdr:rowOff>142875</xdr:rowOff>
    </xdr:to>
    <xdr:cxnSp macro="">
      <xdr:nvCxnSpPr>
        <xdr:cNvPr id="528" name="Straight Arrow Connector 527"/>
        <xdr:cNvCxnSpPr>
          <a:stCxn id="529" idx="0"/>
        </xdr:cNvCxnSpPr>
      </xdr:nvCxnSpPr>
      <xdr:spPr>
        <a:xfrm flipV="1">
          <a:off x="5086350" y="962027"/>
          <a:ext cx="0" cy="756284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124</xdr:row>
      <xdr:rowOff>142875</xdr:rowOff>
    </xdr:from>
    <xdr:to>
      <xdr:col>7</xdr:col>
      <xdr:colOff>114300</xdr:colOff>
      <xdr:row>129</xdr:row>
      <xdr:rowOff>104775</xdr:rowOff>
    </xdr:to>
    <xdr:sp macro="" textlink="">
      <xdr:nvSpPr>
        <xdr:cNvPr id="529" name="Rounded Rectangle 528"/>
        <xdr:cNvSpPr/>
      </xdr:nvSpPr>
      <xdr:spPr>
        <a:xfrm>
          <a:off x="4962525" y="8524875"/>
          <a:ext cx="247650" cy="914400"/>
        </a:xfrm>
        <a:prstGeom prst="roundRect">
          <a:avLst/>
        </a:prstGeom>
      </xdr:spPr>
      <xdr:style>
        <a:lnRef idx="2">
          <a:schemeClr val="accent3"/>
        </a:lnRef>
        <a:fillRef idx="1002">
          <a:schemeClr val="dk2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vert270" wrap="square" lIns="0" tIns="0" rIns="0" bIns="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>
              <a:solidFill>
                <a:schemeClr val="bg1">
                  <a:lumMod val="100000"/>
                </a:schemeClr>
              </a:solidFill>
              <a:latin typeface="+mn-lt"/>
              <a:ea typeface="+mn-ea"/>
              <a:cs typeface="+mn-cs"/>
            </a:rPr>
            <a:t>HP Heater</a:t>
          </a:r>
        </a:p>
      </xdr:txBody>
    </xdr:sp>
    <xdr:clientData/>
  </xdr:twoCellAnchor>
  <xdr:twoCellAnchor>
    <xdr:from>
      <xdr:col>6</xdr:col>
      <xdr:colOff>666750</xdr:colOff>
      <xdr:row>129</xdr:row>
      <xdr:rowOff>104775</xdr:rowOff>
    </xdr:from>
    <xdr:to>
      <xdr:col>6</xdr:col>
      <xdr:colOff>666750</xdr:colOff>
      <xdr:row>145</xdr:row>
      <xdr:rowOff>142875</xdr:rowOff>
    </xdr:to>
    <xdr:cxnSp macro="">
      <xdr:nvCxnSpPr>
        <xdr:cNvPr id="530" name="Straight Arrow Connector 529"/>
        <xdr:cNvCxnSpPr>
          <a:endCxn id="529" idx="2"/>
        </xdr:cNvCxnSpPr>
      </xdr:nvCxnSpPr>
      <xdr:spPr>
        <a:xfrm flipV="1">
          <a:off x="5086350" y="9439275"/>
          <a:ext cx="0" cy="30861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201476</xdr:colOff>
      <xdr:row>118</xdr:row>
      <xdr:rowOff>38100</xdr:rowOff>
    </xdr:from>
    <xdr:to>
      <xdr:col>20</xdr:col>
      <xdr:colOff>201476</xdr:colOff>
      <xdr:row>125</xdr:row>
      <xdr:rowOff>123825</xdr:rowOff>
    </xdr:to>
    <xdr:cxnSp macro="">
      <xdr:nvCxnSpPr>
        <xdr:cNvPr id="531" name="Straight Arrow Connector 530"/>
        <xdr:cNvCxnSpPr/>
      </xdr:nvCxnSpPr>
      <xdr:spPr>
        <a:xfrm>
          <a:off x="14431826" y="7277100"/>
          <a:ext cx="0" cy="14192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7</xdr:col>
      <xdr:colOff>123826</xdr:colOff>
      <xdr:row>125</xdr:row>
      <xdr:rowOff>114302</xdr:rowOff>
    </xdr:from>
    <xdr:to>
      <xdr:col>18</xdr:col>
      <xdr:colOff>619125</xdr:colOff>
      <xdr:row>125</xdr:row>
      <xdr:rowOff>114302</xdr:rowOff>
    </xdr:to>
    <xdr:cxnSp macro="">
      <xdr:nvCxnSpPr>
        <xdr:cNvPr id="532" name="Straight Arrow Connector 531"/>
        <xdr:cNvCxnSpPr/>
      </xdr:nvCxnSpPr>
      <xdr:spPr>
        <a:xfrm flipH="1">
          <a:off x="5219701" y="8686802"/>
          <a:ext cx="8191499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7</xdr:col>
      <xdr:colOff>152400</xdr:colOff>
      <xdr:row>128</xdr:row>
      <xdr:rowOff>180975</xdr:rowOff>
    </xdr:from>
    <xdr:to>
      <xdr:col>18</xdr:col>
      <xdr:colOff>361950</xdr:colOff>
      <xdr:row>128</xdr:row>
      <xdr:rowOff>180975</xdr:rowOff>
    </xdr:to>
    <xdr:cxnSp macro="">
      <xdr:nvCxnSpPr>
        <xdr:cNvPr id="533" name="Straight Arrow Connector 532"/>
        <xdr:cNvCxnSpPr/>
      </xdr:nvCxnSpPr>
      <xdr:spPr>
        <a:xfrm>
          <a:off x="5248275" y="9324975"/>
          <a:ext cx="79057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18</xdr:col>
      <xdr:colOff>361732</xdr:colOff>
      <xdr:row>128</xdr:row>
      <xdr:rowOff>180975</xdr:rowOff>
    </xdr:from>
    <xdr:to>
      <xdr:col>18</xdr:col>
      <xdr:colOff>376238</xdr:colOff>
      <xdr:row>142</xdr:row>
      <xdr:rowOff>47625</xdr:rowOff>
    </xdr:to>
    <xdr:cxnSp macro="">
      <xdr:nvCxnSpPr>
        <xdr:cNvPr id="534" name="Straight Arrow Connector 533"/>
        <xdr:cNvCxnSpPr/>
      </xdr:nvCxnSpPr>
      <xdr:spPr>
        <a:xfrm flipH="1">
          <a:off x="13153807" y="9324975"/>
          <a:ext cx="14506" cy="25336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10</xdr:col>
      <xdr:colOff>9525</xdr:colOff>
      <xdr:row>85</xdr:row>
      <xdr:rowOff>19050</xdr:rowOff>
    </xdr:from>
    <xdr:to>
      <xdr:col>11</xdr:col>
      <xdr:colOff>9525</xdr:colOff>
      <xdr:row>85</xdr:row>
      <xdr:rowOff>19051</xdr:rowOff>
    </xdr:to>
    <xdr:cxnSp macro="">
      <xdr:nvCxnSpPr>
        <xdr:cNvPr id="535" name="Straight Arrow Connector 534"/>
        <xdr:cNvCxnSpPr/>
      </xdr:nvCxnSpPr>
      <xdr:spPr>
        <a:xfrm flipV="1">
          <a:off x="7162800" y="971550"/>
          <a:ext cx="619125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129</xdr:row>
      <xdr:rowOff>38100</xdr:rowOff>
    </xdr:from>
    <xdr:to>
      <xdr:col>12</xdr:col>
      <xdr:colOff>9525</xdr:colOff>
      <xdr:row>137</xdr:row>
      <xdr:rowOff>38100</xdr:rowOff>
    </xdr:to>
    <xdr:cxnSp macro="">
      <xdr:nvCxnSpPr>
        <xdr:cNvPr id="536" name="Straight Arrow Connector 535"/>
        <xdr:cNvCxnSpPr/>
      </xdr:nvCxnSpPr>
      <xdr:spPr>
        <a:xfrm>
          <a:off x="8477250" y="9372600"/>
          <a:ext cx="0" cy="15240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595477</xdr:colOff>
      <xdr:row>84</xdr:row>
      <xdr:rowOff>47625</xdr:rowOff>
    </xdr:from>
    <xdr:to>
      <xdr:col>16</xdr:col>
      <xdr:colOff>600056</xdr:colOff>
      <xdr:row>97</xdr:row>
      <xdr:rowOff>114300</xdr:rowOff>
    </xdr:to>
    <xdr:cxnSp macro="">
      <xdr:nvCxnSpPr>
        <xdr:cNvPr id="537" name="Straight Arrow Connector 536"/>
        <xdr:cNvCxnSpPr>
          <a:endCxn id="510" idx="0"/>
        </xdr:cNvCxnSpPr>
      </xdr:nvCxnSpPr>
      <xdr:spPr>
        <a:xfrm>
          <a:off x="11892127" y="809625"/>
          <a:ext cx="4579" cy="25431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28</xdr:col>
      <xdr:colOff>433552</xdr:colOff>
      <xdr:row>116</xdr:row>
      <xdr:rowOff>57150</xdr:rowOff>
    </xdr:from>
    <xdr:to>
      <xdr:col>28</xdr:col>
      <xdr:colOff>433552</xdr:colOff>
      <xdr:row>117</xdr:row>
      <xdr:rowOff>153133</xdr:rowOff>
    </xdr:to>
    <xdr:cxnSp macro="">
      <xdr:nvCxnSpPr>
        <xdr:cNvPr id="538" name="Straight Arrow Connector 537"/>
        <xdr:cNvCxnSpPr/>
      </xdr:nvCxnSpPr>
      <xdr:spPr>
        <a:xfrm flipV="1">
          <a:off x="20245552" y="6915150"/>
          <a:ext cx="0" cy="28648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443077</xdr:colOff>
      <xdr:row>107</xdr:row>
      <xdr:rowOff>47626</xdr:rowOff>
    </xdr:from>
    <xdr:to>
      <xdr:col>28</xdr:col>
      <xdr:colOff>443077</xdr:colOff>
      <xdr:row>108</xdr:row>
      <xdr:rowOff>161925</xdr:rowOff>
    </xdr:to>
    <xdr:cxnSp macro="">
      <xdr:nvCxnSpPr>
        <xdr:cNvPr id="539" name="Straight Arrow Connector 538"/>
        <xdr:cNvCxnSpPr/>
      </xdr:nvCxnSpPr>
      <xdr:spPr>
        <a:xfrm flipV="1">
          <a:off x="20255077" y="5191126"/>
          <a:ext cx="0" cy="3047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390525</xdr:colOff>
      <xdr:row>132</xdr:row>
      <xdr:rowOff>66675</xdr:rowOff>
    </xdr:from>
    <xdr:to>
      <xdr:col>23</xdr:col>
      <xdr:colOff>723900</xdr:colOff>
      <xdr:row>132</xdr:row>
      <xdr:rowOff>66675</xdr:rowOff>
    </xdr:to>
    <xdr:cxnSp macro="">
      <xdr:nvCxnSpPr>
        <xdr:cNvPr id="540" name="Straight Arrow Connector 539"/>
        <xdr:cNvCxnSpPr/>
      </xdr:nvCxnSpPr>
      <xdr:spPr>
        <a:xfrm flipH="1">
          <a:off x="13877925" y="9972675"/>
          <a:ext cx="3286125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395045</xdr:colOff>
      <xdr:row>132</xdr:row>
      <xdr:rowOff>66675</xdr:rowOff>
    </xdr:from>
    <xdr:to>
      <xdr:col>19</xdr:col>
      <xdr:colOff>395045</xdr:colOff>
      <xdr:row>142</xdr:row>
      <xdr:rowOff>47625</xdr:rowOff>
    </xdr:to>
    <xdr:cxnSp macro="">
      <xdr:nvCxnSpPr>
        <xdr:cNvPr id="541" name="Straight Arrow Connector 540"/>
        <xdr:cNvCxnSpPr/>
      </xdr:nvCxnSpPr>
      <xdr:spPr>
        <a:xfrm>
          <a:off x="13882445" y="25212675"/>
          <a:ext cx="0" cy="18859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695325</xdr:colOff>
      <xdr:row>137</xdr:row>
      <xdr:rowOff>5042</xdr:rowOff>
    </xdr:from>
    <xdr:to>
      <xdr:col>27</xdr:col>
      <xdr:colOff>19050</xdr:colOff>
      <xdr:row>137</xdr:row>
      <xdr:rowOff>5042</xdr:rowOff>
    </xdr:to>
    <xdr:cxnSp macro="">
      <xdr:nvCxnSpPr>
        <xdr:cNvPr id="542" name="Straight Arrow Connector 541"/>
        <xdr:cNvCxnSpPr/>
      </xdr:nvCxnSpPr>
      <xdr:spPr>
        <a:xfrm>
          <a:off x="14182725" y="10863542"/>
          <a:ext cx="4953000" cy="0"/>
        </a:xfrm>
        <a:prstGeom prst="straightConnector1">
          <a:avLst/>
        </a:prstGeom>
        <a:ln>
          <a:headEnd type="none"/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26</xdr:col>
      <xdr:colOff>411905</xdr:colOff>
      <xdr:row>132</xdr:row>
      <xdr:rowOff>107230</xdr:rowOff>
    </xdr:from>
    <xdr:to>
      <xdr:col>27</xdr:col>
      <xdr:colOff>76763</xdr:colOff>
      <xdr:row>133</xdr:row>
      <xdr:rowOff>73485</xdr:rowOff>
    </xdr:to>
    <xdr:sp macro="" textlink="">
      <xdr:nvSpPr>
        <xdr:cNvPr id="543" name="Pentagon 542"/>
        <xdr:cNvSpPr/>
      </xdr:nvSpPr>
      <xdr:spPr>
        <a:xfrm rot="16200000">
          <a:off x="19049269" y="10025816"/>
          <a:ext cx="156755" cy="131583"/>
        </a:xfrm>
        <a:prstGeom prst="homePlate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 anchorCtr="0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611051</xdr:colOff>
      <xdr:row>120</xdr:row>
      <xdr:rowOff>152399</xdr:rowOff>
    </xdr:from>
    <xdr:to>
      <xdr:col>24</xdr:col>
      <xdr:colOff>426405</xdr:colOff>
      <xdr:row>122</xdr:row>
      <xdr:rowOff>47624</xdr:rowOff>
    </xdr:to>
    <xdr:grpSp>
      <xdr:nvGrpSpPr>
        <xdr:cNvPr id="544" name="Group 543"/>
        <xdr:cNvGrpSpPr/>
      </xdr:nvGrpSpPr>
      <xdr:grpSpPr>
        <a:xfrm>
          <a:off x="17051201" y="23012399"/>
          <a:ext cx="558304" cy="276225"/>
          <a:chOff x="17584601" y="9429750"/>
          <a:chExt cx="770074" cy="381000"/>
        </a:xfrm>
      </xdr:grpSpPr>
      <xdr:sp macro="" textlink="">
        <xdr:nvSpPr>
          <xdr:cNvPr id="545" name="Flowchart: Connector 544"/>
          <xdr:cNvSpPr/>
        </xdr:nvSpPr>
        <xdr:spPr>
          <a:xfrm>
            <a:off x="17584601" y="9429750"/>
            <a:ext cx="381000" cy="381000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546" name="Straight Arrow Connector 545"/>
          <xdr:cNvCxnSpPr/>
        </xdr:nvCxnSpPr>
        <xdr:spPr>
          <a:xfrm>
            <a:off x="17649825" y="9484564"/>
            <a:ext cx="704850" cy="0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7" name="Straight Arrow Connector 546"/>
          <xdr:cNvCxnSpPr/>
        </xdr:nvCxnSpPr>
        <xdr:spPr>
          <a:xfrm>
            <a:off x="17649825" y="9750565"/>
            <a:ext cx="685800" cy="0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8" name="Straight Arrow Connector 547"/>
          <xdr:cNvCxnSpPr>
            <a:stCxn id="545" idx="3"/>
          </xdr:cNvCxnSpPr>
        </xdr:nvCxnSpPr>
        <xdr:spPr>
          <a:xfrm flipV="1">
            <a:off x="17640261" y="9610398"/>
            <a:ext cx="142914" cy="144556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9" name="Straight Arrow Connector 548"/>
          <xdr:cNvCxnSpPr>
            <a:endCxn id="545" idx="1"/>
          </xdr:cNvCxnSpPr>
        </xdr:nvCxnSpPr>
        <xdr:spPr>
          <a:xfrm flipH="1" flipV="1">
            <a:off x="17640261" y="9485546"/>
            <a:ext cx="142914" cy="127734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468176</xdr:colOff>
      <xdr:row>145</xdr:row>
      <xdr:rowOff>10976</xdr:rowOff>
    </xdr:from>
    <xdr:to>
      <xdr:col>13</xdr:col>
      <xdr:colOff>152400</xdr:colOff>
      <xdr:row>146</xdr:row>
      <xdr:rowOff>114300</xdr:rowOff>
    </xdr:to>
    <xdr:grpSp>
      <xdr:nvGrpSpPr>
        <xdr:cNvPr id="550" name="Group 549"/>
        <xdr:cNvGrpSpPr/>
      </xdr:nvGrpSpPr>
      <xdr:grpSpPr>
        <a:xfrm>
          <a:off x="8935901" y="27633476"/>
          <a:ext cx="379549" cy="293824"/>
          <a:chOff x="9459776" y="10212251"/>
          <a:chExt cx="379549" cy="293824"/>
        </a:xfrm>
      </xdr:grpSpPr>
      <xdr:sp macro="" textlink="">
        <xdr:nvSpPr>
          <xdr:cNvPr id="551" name="Flowchart: Connector 550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552" name="Straight Arrow Connector 551"/>
          <xdr:cNvCxnSpPr>
            <a:stCxn id="551" idx="2"/>
            <a:endCxn id="551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3" name="Straight Arrow Connector 552"/>
          <xdr:cNvCxnSpPr>
            <a:stCxn id="551" idx="2"/>
            <a:endCxn id="551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476250</xdr:colOff>
      <xdr:row>102</xdr:row>
      <xdr:rowOff>9525</xdr:rowOff>
    </xdr:from>
    <xdr:to>
      <xdr:col>11</xdr:col>
      <xdr:colOff>152400</xdr:colOff>
      <xdr:row>105</xdr:row>
      <xdr:rowOff>19050</xdr:rowOff>
    </xdr:to>
    <xdr:sp macro="" textlink="">
      <xdr:nvSpPr>
        <xdr:cNvPr id="554" name="Rectangle 553"/>
        <xdr:cNvSpPr/>
      </xdr:nvSpPr>
      <xdr:spPr>
        <a:xfrm>
          <a:off x="7629525" y="4200525"/>
          <a:ext cx="29527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US" sz="800"/>
            <a:t>BD FT</a:t>
          </a:r>
        </a:p>
      </xdr:txBody>
    </xdr:sp>
    <xdr:clientData/>
  </xdr:twoCellAnchor>
  <xdr:twoCellAnchor>
    <xdr:from>
      <xdr:col>11</xdr:col>
      <xdr:colOff>0</xdr:colOff>
      <xdr:row>85</xdr:row>
      <xdr:rowOff>15420</xdr:rowOff>
    </xdr:from>
    <xdr:to>
      <xdr:col>11</xdr:col>
      <xdr:colOff>1</xdr:colOff>
      <xdr:row>102</xdr:row>
      <xdr:rowOff>0</xdr:rowOff>
    </xdr:to>
    <xdr:cxnSp macro="">
      <xdr:nvCxnSpPr>
        <xdr:cNvPr id="555" name="Straight Arrow Connector 554"/>
        <xdr:cNvCxnSpPr/>
      </xdr:nvCxnSpPr>
      <xdr:spPr>
        <a:xfrm flipH="1">
          <a:off x="7772400" y="967920"/>
          <a:ext cx="1" cy="322308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102</xdr:row>
      <xdr:rowOff>95251</xdr:rowOff>
    </xdr:from>
    <xdr:to>
      <xdr:col>12</xdr:col>
      <xdr:colOff>19050</xdr:colOff>
      <xdr:row>102</xdr:row>
      <xdr:rowOff>95251</xdr:rowOff>
    </xdr:to>
    <xdr:cxnSp macro="">
      <xdr:nvCxnSpPr>
        <xdr:cNvPr id="556" name="Straight Arrow Connector 555"/>
        <xdr:cNvCxnSpPr/>
      </xdr:nvCxnSpPr>
      <xdr:spPr>
        <a:xfrm>
          <a:off x="7924800" y="4286251"/>
          <a:ext cx="5619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102</xdr:row>
      <xdr:rowOff>90621</xdr:rowOff>
    </xdr:from>
    <xdr:to>
      <xdr:col>12</xdr:col>
      <xdr:colOff>9525</xdr:colOff>
      <xdr:row>125</xdr:row>
      <xdr:rowOff>38100</xdr:rowOff>
    </xdr:to>
    <xdr:cxnSp macro="">
      <xdr:nvCxnSpPr>
        <xdr:cNvPr id="557" name="Straight Arrow Connector 556"/>
        <xdr:cNvCxnSpPr/>
      </xdr:nvCxnSpPr>
      <xdr:spPr>
        <a:xfrm>
          <a:off x="8477250" y="4281621"/>
          <a:ext cx="0" cy="432897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125</xdr:row>
      <xdr:rowOff>171450</xdr:rowOff>
    </xdr:from>
    <xdr:to>
      <xdr:col>12</xdr:col>
      <xdr:colOff>9525</xdr:colOff>
      <xdr:row>128</xdr:row>
      <xdr:rowOff>123825</xdr:rowOff>
    </xdr:to>
    <xdr:cxnSp macro="">
      <xdr:nvCxnSpPr>
        <xdr:cNvPr id="558" name="Straight Arrow Connector 557"/>
        <xdr:cNvCxnSpPr/>
      </xdr:nvCxnSpPr>
      <xdr:spPr>
        <a:xfrm>
          <a:off x="8477250" y="8743950"/>
          <a:ext cx="0" cy="52387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137</xdr:row>
      <xdr:rowOff>47625</xdr:rowOff>
    </xdr:from>
    <xdr:to>
      <xdr:col>18</xdr:col>
      <xdr:colOff>28575</xdr:colOff>
      <xdr:row>137</xdr:row>
      <xdr:rowOff>47625</xdr:rowOff>
    </xdr:to>
    <xdr:cxnSp macro="">
      <xdr:nvCxnSpPr>
        <xdr:cNvPr id="559" name="Straight Arrow Connector 558"/>
        <xdr:cNvCxnSpPr/>
      </xdr:nvCxnSpPr>
      <xdr:spPr>
        <a:xfrm>
          <a:off x="8486775" y="10906125"/>
          <a:ext cx="4333875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28575</xdr:colOff>
      <xdr:row>137</xdr:row>
      <xdr:rowOff>38100</xdr:rowOff>
    </xdr:from>
    <xdr:to>
      <xdr:col>18</xdr:col>
      <xdr:colOff>28575</xdr:colOff>
      <xdr:row>142</xdr:row>
      <xdr:rowOff>47625</xdr:rowOff>
    </xdr:to>
    <xdr:cxnSp macro="">
      <xdr:nvCxnSpPr>
        <xdr:cNvPr id="560" name="Straight Arrow Connector 559"/>
        <xdr:cNvCxnSpPr/>
      </xdr:nvCxnSpPr>
      <xdr:spPr>
        <a:xfrm>
          <a:off x="12820650" y="10896600"/>
          <a:ext cx="0" cy="9620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19050</xdr:colOff>
      <xdr:row>97</xdr:row>
      <xdr:rowOff>152400</xdr:rowOff>
    </xdr:from>
    <xdr:to>
      <xdr:col>28</xdr:col>
      <xdr:colOff>400050</xdr:colOff>
      <xdr:row>97</xdr:row>
      <xdr:rowOff>152400</xdr:rowOff>
    </xdr:to>
    <xdr:cxnSp macro="">
      <xdr:nvCxnSpPr>
        <xdr:cNvPr id="561" name="Straight Arrow Connector 560"/>
        <xdr:cNvCxnSpPr/>
      </xdr:nvCxnSpPr>
      <xdr:spPr>
        <a:xfrm>
          <a:off x="19135725" y="3390900"/>
          <a:ext cx="1076325" cy="0"/>
        </a:xfrm>
        <a:prstGeom prst="straightConnector1">
          <a:avLst/>
        </a:prstGeom>
        <a:ln>
          <a:prstDash val="dash"/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419100</xdr:colOff>
      <xdr:row>94</xdr:row>
      <xdr:rowOff>44824</xdr:rowOff>
    </xdr:from>
    <xdr:to>
      <xdr:col>28</xdr:col>
      <xdr:colOff>419100</xdr:colOff>
      <xdr:row>102</xdr:row>
      <xdr:rowOff>0</xdr:rowOff>
    </xdr:to>
    <xdr:cxnSp macro="">
      <xdr:nvCxnSpPr>
        <xdr:cNvPr id="562" name="Straight Arrow Connector 561"/>
        <xdr:cNvCxnSpPr/>
      </xdr:nvCxnSpPr>
      <xdr:spPr>
        <a:xfrm>
          <a:off x="20231100" y="2711824"/>
          <a:ext cx="0" cy="1479176"/>
        </a:xfrm>
        <a:prstGeom prst="straightConnector1">
          <a:avLst/>
        </a:prstGeom>
        <a:ln>
          <a:prstDash val="dash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657225</xdr:colOff>
      <xdr:row>99</xdr:row>
      <xdr:rowOff>114300</xdr:rowOff>
    </xdr:from>
    <xdr:to>
      <xdr:col>26</xdr:col>
      <xdr:colOff>666750</xdr:colOff>
      <xdr:row>99</xdr:row>
      <xdr:rowOff>114300</xdr:rowOff>
    </xdr:to>
    <xdr:cxnSp macro="">
      <xdr:nvCxnSpPr>
        <xdr:cNvPr id="563" name="Straight Arrow Connector 562"/>
        <xdr:cNvCxnSpPr/>
      </xdr:nvCxnSpPr>
      <xdr:spPr>
        <a:xfrm>
          <a:off x="19116675" y="3733800"/>
          <a:ext cx="0" cy="0"/>
        </a:xfrm>
        <a:prstGeom prst="straightConnector1">
          <a:avLst/>
        </a:prstGeom>
        <a:ln>
          <a:prstDash val="dash"/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390525</xdr:colOff>
      <xdr:row>112</xdr:row>
      <xdr:rowOff>9525</xdr:rowOff>
    </xdr:from>
    <xdr:to>
      <xdr:col>29</xdr:col>
      <xdr:colOff>9525</xdr:colOff>
      <xdr:row>112</xdr:row>
      <xdr:rowOff>9525</xdr:rowOff>
    </xdr:to>
    <xdr:cxnSp macro="">
      <xdr:nvCxnSpPr>
        <xdr:cNvPr id="564" name="Straight Arrow Connector 563"/>
        <xdr:cNvCxnSpPr/>
      </xdr:nvCxnSpPr>
      <xdr:spPr>
        <a:xfrm>
          <a:off x="19507200" y="6105525"/>
          <a:ext cx="7810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125</xdr:row>
      <xdr:rowOff>114300</xdr:rowOff>
    </xdr:from>
    <xdr:to>
      <xdr:col>20</xdr:col>
      <xdr:colOff>200025</xdr:colOff>
      <xdr:row>125</xdr:row>
      <xdr:rowOff>114300</xdr:rowOff>
    </xdr:to>
    <xdr:cxnSp macro="">
      <xdr:nvCxnSpPr>
        <xdr:cNvPr id="565" name="Straight Arrow Connector 564"/>
        <xdr:cNvCxnSpPr/>
      </xdr:nvCxnSpPr>
      <xdr:spPr>
        <a:xfrm>
          <a:off x="13573125" y="8686800"/>
          <a:ext cx="857250" cy="0"/>
        </a:xfrm>
        <a:prstGeom prst="straightConnector1">
          <a:avLst/>
        </a:prstGeom>
        <a:ln>
          <a:headEnd type="none"/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390563</xdr:colOff>
      <xdr:row>108</xdr:row>
      <xdr:rowOff>161925</xdr:rowOff>
    </xdr:from>
    <xdr:to>
      <xdr:col>27</xdr:col>
      <xdr:colOff>390563</xdr:colOff>
      <xdr:row>112</xdr:row>
      <xdr:rowOff>19050</xdr:rowOff>
    </xdr:to>
    <xdr:cxnSp macro="">
      <xdr:nvCxnSpPr>
        <xdr:cNvPr id="566" name="Straight Arrow Connector 565"/>
        <xdr:cNvCxnSpPr/>
      </xdr:nvCxnSpPr>
      <xdr:spPr>
        <a:xfrm>
          <a:off x="19507238" y="5495925"/>
          <a:ext cx="0" cy="6191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458235</xdr:colOff>
      <xdr:row>117</xdr:row>
      <xdr:rowOff>161925</xdr:rowOff>
    </xdr:from>
    <xdr:to>
      <xdr:col>27</xdr:col>
      <xdr:colOff>10972</xdr:colOff>
      <xdr:row>132</xdr:row>
      <xdr:rowOff>107230</xdr:rowOff>
    </xdr:to>
    <xdr:cxnSp macro="">
      <xdr:nvCxnSpPr>
        <xdr:cNvPr id="567" name="Straight Arrow Connector 566"/>
        <xdr:cNvCxnSpPr>
          <a:endCxn id="543" idx="3"/>
        </xdr:cNvCxnSpPr>
      </xdr:nvCxnSpPr>
      <xdr:spPr>
        <a:xfrm>
          <a:off x="19108185" y="7210425"/>
          <a:ext cx="19462" cy="2802805"/>
        </a:xfrm>
        <a:prstGeom prst="straightConnector1">
          <a:avLst/>
        </a:prstGeom>
        <a:ln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23</xdr:col>
      <xdr:colOff>730063</xdr:colOff>
      <xdr:row>109</xdr:row>
      <xdr:rowOff>43143</xdr:rowOff>
    </xdr:from>
    <xdr:to>
      <xdr:col>23</xdr:col>
      <xdr:colOff>730063</xdr:colOff>
      <xdr:row>117</xdr:row>
      <xdr:rowOff>66675</xdr:rowOff>
    </xdr:to>
    <xdr:cxnSp macro="">
      <xdr:nvCxnSpPr>
        <xdr:cNvPr id="568" name="Straight Arrow Connector 567"/>
        <xdr:cNvCxnSpPr/>
      </xdr:nvCxnSpPr>
      <xdr:spPr>
        <a:xfrm>
          <a:off x="17170213" y="5567643"/>
          <a:ext cx="0" cy="1547532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47625</xdr:colOff>
      <xdr:row>143</xdr:row>
      <xdr:rowOff>52667</xdr:rowOff>
    </xdr:from>
    <xdr:to>
      <xdr:col>17</xdr:col>
      <xdr:colOff>504825</xdr:colOff>
      <xdr:row>143</xdr:row>
      <xdr:rowOff>52667</xdr:rowOff>
    </xdr:to>
    <xdr:cxnSp macro="">
      <xdr:nvCxnSpPr>
        <xdr:cNvPr id="569" name="Straight Arrow Connector 568"/>
        <xdr:cNvCxnSpPr/>
      </xdr:nvCxnSpPr>
      <xdr:spPr>
        <a:xfrm>
          <a:off x="11344275" y="12054167"/>
          <a:ext cx="1066800" cy="0"/>
        </a:xfrm>
        <a:prstGeom prst="straightConnector1">
          <a:avLst/>
        </a:prstGeom>
        <a:ln>
          <a:headEnd type="none"/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16</xdr:col>
      <xdr:colOff>34062</xdr:colOff>
      <xdr:row>105</xdr:row>
      <xdr:rowOff>123825</xdr:rowOff>
    </xdr:from>
    <xdr:to>
      <xdr:col>16</xdr:col>
      <xdr:colOff>34062</xdr:colOff>
      <xdr:row>117</xdr:row>
      <xdr:rowOff>66676</xdr:rowOff>
    </xdr:to>
    <xdr:cxnSp macro="">
      <xdr:nvCxnSpPr>
        <xdr:cNvPr id="570" name="Straight Arrow Connector 569"/>
        <xdr:cNvCxnSpPr/>
      </xdr:nvCxnSpPr>
      <xdr:spPr>
        <a:xfrm flipV="1">
          <a:off x="11330712" y="4886325"/>
          <a:ext cx="0" cy="2228851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16</xdr:col>
      <xdr:colOff>34738</xdr:colOff>
      <xdr:row>137</xdr:row>
      <xdr:rowOff>104775</xdr:rowOff>
    </xdr:from>
    <xdr:to>
      <xdr:col>16</xdr:col>
      <xdr:colOff>34738</xdr:colOff>
      <xdr:row>143</xdr:row>
      <xdr:rowOff>57150</xdr:rowOff>
    </xdr:to>
    <xdr:cxnSp macro="">
      <xdr:nvCxnSpPr>
        <xdr:cNvPr id="571" name="Straight Arrow Connector 570"/>
        <xdr:cNvCxnSpPr/>
      </xdr:nvCxnSpPr>
      <xdr:spPr>
        <a:xfrm>
          <a:off x="11331388" y="10963275"/>
          <a:ext cx="0" cy="1095375"/>
        </a:xfrm>
        <a:prstGeom prst="straightConnector1">
          <a:avLst/>
        </a:prstGeom>
        <a:ln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16</xdr:col>
      <xdr:colOff>34738</xdr:colOff>
      <xdr:row>129</xdr:row>
      <xdr:rowOff>47625</xdr:rowOff>
    </xdr:from>
    <xdr:to>
      <xdr:col>16</xdr:col>
      <xdr:colOff>34738</xdr:colOff>
      <xdr:row>136</xdr:row>
      <xdr:rowOff>171450</xdr:rowOff>
    </xdr:to>
    <xdr:cxnSp macro="">
      <xdr:nvCxnSpPr>
        <xdr:cNvPr id="572" name="Straight Arrow Connector 571"/>
        <xdr:cNvCxnSpPr/>
      </xdr:nvCxnSpPr>
      <xdr:spPr>
        <a:xfrm>
          <a:off x="11331388" y="9382125"/>
          <a:ext cx="0" cy="1457325"/>
        </a:xfrm>
        <a:prstGeom prst="straightConnector1">
          <a:avLst/>
        </a:prstGeom>
        <a:ln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16</xdr:col>
      <xdr:colOff>34738</xdr:colOff>
      <xdr:row>125</xdr:row>
      <xdr:rowOff>171450</xdr:rowOff>
    </xdr:from>
    <xdr:to>
      <xdr:col>16</xdr:col>
      <xdr:colOff>34738</xdr:colOff>
      <xdr:row>128</xdr:row>
      <xdr:rowOff>123825</xdr:rowOff>
    </xdr:to>
    <xdr:cxnSp macro="">
      <xdr:nvCxnSpPr>
        <xdr:cNvPr id="573" name="Straight Arrow Connector 572"/>
        <xdr:cNvCxnSpPr/>
      </xdr:nvCxnSpPr>
      <xdr:spPr>
        <a:xfrm>
          <a:off x="11331388" y="8743950"/>
          <a:ext cx="0" cy="523875"/>
        </a:xfrm>
        <a:prstGeom prst="straightConnector1">
          <a:avLst/>
        </a:prstGeom>
        <a:ln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16</xdr:col>
      <xdr:colOff>34738</xdr:colOff>
      <xdr:row>118</xdr:row>
      <xdr:rowOff>28575</xdr:rowOff>
    </xdr:from>
    <xdr:to>
      <xdr:col>16</xdr:col>
      <xdr:colOff>34738</xdr:colOff>
      <xdr:row>125</xdr:row>
      <xdr:rowOff>57150</xdr:rowOff>
    </xdr:to>
    <xdr:cxnSp macro="">
      <xdr:nvCxnSpPr>
        <xdr:cNvPr id="574" name="Straight Arrow Connector 573"/>
        <xdr:cNvCxnSpPr/>
      </xdr:nvCxnSpPr>
      <xdr:spPr>
        <a:xfrm>
          <a:off x="11331388" y="7267575"/>
          <a:ext cx="0" cy="1362075"/>
        </a:xfrm>
        <a:prstGeom prst="straightConnector1">
          <a:avLst/>
        </a:prstGeom>
        <a:ln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16</xdr:col>
      <xdr:colOff>535730</xdr:colOff>
      <xdr:row>105</xdr:row>
      <xdr:rowOff>11980</xdr:rowOff>
    </xdr:from>
    <xdr:to>
      <xdr:col>17</xdr:col>
      <xdr:colOff>57713</xdr:colOff>
      <xdr:row>105</xdr:row>
      <xdr:rowOff>168735</xdr:rowOff>
    </xdr:to>
    <xdr:sp macro="" textlink="">
      <xdr:nvSpPr>
        <xdr:cNvPr id="575" name="Pentagon 574"/>
        <xdr:cNvSpPr/>
      </xdr:nvSpPr>
      <xdr:spPr>
        <a:xfrm rot="16200000">
          <a:off x="11819794" y="4787066"/>
          <a:ext cx="156755" cy="131583"/>
        </a:xfrm>
        <a:prstGeom prst="homePlate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 anchorCtr="0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47625</xdr:colOff>
      <xdr:row>105</xdr:row>
      <xdr:rowOff>123253</xdr:rowOff>
    </xdr:from>
    <xdr:to>
      <xdr:col>16</xdr:col>
      <xdr:colOff>535730</xdr:colOff>
      <xdr:row>105</xdr:row>
      <xdr:rowOff>123253</xdr:rowOff>
    </xdr:to>
    <xdr:cxnSp macro="">
      <xdr:nvCxnSpPr>
        <xdr:cNvPr id="576" name="Straight Arrow Connector 575"/>
        <xdr:cNvCxnSpPr>
          <a:endCxn id="575" idx="0"/>
        </xdr:cNvCxnSpPr>
      </xdr:nvCxnSpPr>
      <xdr:spPr>
        <a:xfrm>
          <a:off x="11344275" y="4885753"/>
          <a:ext cx="488105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16</xdr:col>
      <xdr:colOff>496751</xdr:colOff>
      <xdr:row>142</xdr:row>
      <xdr:rowOff>182721</xdr:rowOff>
    </xdr:from>
    <xdr:to>
      <xdr:col>17</xdr:col>
      <xdr:colOff>57150</xdr:colOff>
      <xdr:row>143</xdr:row>
      <xdr:rowOff>123824</xdr:rowOff>
    </xdr:to>
    <xdr:grpSp>
      <xdr:nvGrpSpPr>
        <xdr:cNvPr id="577" name="Group 576"/>
        <xdr:cNvGrpSpPr/>
      </xdr:nvGrpSpPr>
      <xdr:grpSpPr>
        <a:xfrm>
          <a:off x="11793401" y="27233721"/>
          <a:ext cx="169999" cy="131603"/>
          <a:chOff x="9459776" y="10212251"/>
          <a:chExt cx="379549" cy="293824"/>
        </a:xfrm>
      </xdr:grpSpPr>
      <xdr:sp macro="" textlink="">
        <xdr:nvSpPr>
          <xdr:cNvPr id="578" name="Flowchart: Connector 577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579" name="Straight Arrow Connector 578"/>
          <xdr:cNvCxnSpPr>
            <a:stCxn id="578" idx="2"/>
            <a:endCxn id="578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</xdr:cxnSp>
      <xdr:cxnSp macro="">
        <xdr:nvCxnSpPr>
          <xdr:cNvPr id="580" name="Straight Arrow Connector 579"/>
          <xdr:cNvCxnSpPr>
            <a:stCxn id="578" idx="2"/>
            <a:endCxn id="578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</xdr:cxnSp>
    </xdr:grpSp>
    <xdr:clientData/>
  </xdr:twoCellAnchor>
  <xdr:twoCellAnchor>
    <xdr:from>
      <xdr:col>20</xdr:col>
      <xdr:colOff>438150</xdr:colOff>
      <xdr:row>136</xdr:row>
      <xdr:rowOff>123826</xdr:rowOff>
    </xdr:from>
    <xdr:to>
      <xdr:col>20</xdr:col>
      <xdr:colOff>622708</xdr:colOff>
      <xdr:row>137</xdr:row>
      <xdr:rowOff>76200</xdr:rowOff>
    </xdr:to>
    <xdr:grpSp>
      <xdr:nvGrpSpPr>
        <xdr:cNvPr id="581" name="Group 580"/>
        <xdr:cNvGrpSpPr/>
      </xdr:nvGrpSpPr>
      <xdr:grpSpPr>
        <a:xfrm flipH="1">
          <a:off x="14668500" y="26031826"/>
          <a:ext cx="184558" cy="142874"/>
          <a:chOff x="9459776" y="10212251"/>
          <a:chExt cx="379549" cy="293824"/>
        </a:xfrm>
      </xdr:grpSpPr>
      <xdr:sp macro="" textlink="">
        <xdr:nvSpPr>
          <xdr:cNvPr id="582" name="Flowchart: Connector 581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583" name="Straight Arrow Connector 582"/>
          <xdr:cNvCxnSpPr>
            <a:stCxn id="582" idx="2"/>
            <a:endCxn id="582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</xdr:cxnSp>
      <xdr:cxnSp macro="">
        <xdr:nvCxnSpPr>
          <xdr:cNvPr id="584" name="Straight Arrow Connector 583"/>
          <xdr:cNvCxnSpPr>
            <a:stCxn id="582" idx="2"/>
            <a:endCxn id="582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</xdr:cxnSp>
    </xdr:grpSp>
    <xdr:clientData/>
  </xdr:twoCellAnchor>
  <xdr:twoCellAnchor>
    <xdr:from>
      <xdr:col>23</xdr:col>
      <xdr:colOff>658286</xdr:colOff>
      <xdr:row>123</xdr:row>
      <xdr:rowOff>51749</xdr:rowOff>
    </xdr:from>
    <xdr:to>
      <xdr:col>24</xdr:col>
      <xdr:colOff>45501</xdr:colOff>
      <xdr:row>124</xdr:row>
      <xdr:rowOff>857</xdr:rowOff>
    </xdr:to>
    <xdr:grpSp>
      <xdr:nvGrpSpPr>
        <xdr:cNvPr id="585" name="Group 584"/>
        <xdr:cNvGrpSpPr/>
      </xdr:nvGrpSpPr>
      <xdr:grpSpPr>
        <a:xfrm rot="16200000">
          <a:off x="17093715" y="23487970"/>
          <a:ext cx="139608" cy="130165"/>
          <a:chOff x="9459776" y="10212251"/>
          <a:chExt cx="379549" cy="293824"/>
        </a:xfrm>
      </xdr:grpSpPr>
      <xdr:sp macro="" textlink="">
        <xdr:nvSpPr>
          <xdr:cNvPr id="586" name="Flowchart: Connector 585"/>
          <xdr:cNvSpPr/>
        </xdr:nvSpPr>
        <xdr:spPr>
          <a:xfrm>
            <a:off x="9459776" y="10212251"/>
            <a:ext cx="379549" cy="293824"/>
          </a:xfrm>
          <a:prstGeom prst="flowChartConnector">
            <a:avLst/>
          </a:prstGeom>
        </xdr:spPr>
        <xdr:style>
          <a:lnRef idx="2">
            <a:schemeClr val="accent1">
              <a:shade val="50000"/>
            </a:schemeClr>
          </a:lnRef>
          <a:fillRef idx="1002">
            <a:schemeClr val="dk2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 anchorCtr="0"/>
          <a:lstStyle/>
          <a:p>
            <a:pPr algn="l"/>
            <a:endParaRPr lang="en-US" sz="1100"/>
          </a:p>
        </xdr:txBody>
      </xdr:sp>
      <xdr:cxnSp macro="">
        <xdr:nvCxnSpPr>
          <xdr:cNvPr id="587" name="Straight Arrow Connector 586"/>
          <xdr:cNvCxnSpPr>
            <a:stCxn id="586" idx="2"/>
            <a:endCxn id="586" idx="0"/>
          </xdr:cNvCxnSpPr>
        </xdr:nvCxnSpPr>
        <xdr:spPr>
          <a:xfrm flipV="1">
            <a:off x="9459776" y="10212251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8" name="Straight Arrow Connector 587"/>
          <xdr:cNvCxnSpPr>
            <a:stCxn id="586" idx="2"/>
            <a:endCxn id="586" idx="4"/>
          </xdr:cNvCxnSpPr>
        </xdr:nvCxnSpPr>
        <xdr:spPr>
          <a:xfrm>
            <a:off x="9459776" y="10359163"/>
            <a:ext cx="232637" cy="146912"/>
          </a:xfrm>
          <a:prstGeom prst="straightConnector1">
            <a:avLst/>
          </a:prstGeom>
          <a:ln>
            <a:headEnd type="none"/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690321</xdr:colOff>
      <xdr:row>137</xdr:row>
      <xdr:rowOff>9525</xdr:rowOff>
    </xdr:from>
    <xdr:to>
      <xdr:col>19</xdr:col>
      <xdr:colOff>690321</xdr:colOff>
      <xdr:row>142</xdr:row>
      <xdr:rowOff>47625</xdr:rowOff>
    </xdr:to>
    <xdr:cxnSp macro="">
      <xdr:nvCxnSpPr>
        <xdr:cNvPr id="589" name="Straight Arrow Connector 588"/>
        <xdr:cNvCxnSpPr/>
      </xdr:nvCxnSpPr>
      <xdr:spPr>
        <a:xfrm>
          <a:off x="14177721" y="10868025"/>
          <a:ext cx="0" cy="990600"/>
        </a:xfrm>
        <a:prstGeom prst="straightConnector1">
          <a:avLst/>
        </a:prstGeom>
        <a:ln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20</xdr:col>
      <xdr:colOff>304800</xdr:colOff>
      <xdr:row>145</xdr:row>
      <xdr:rowOff>169771</xdr:rowOff>
    </xdr:from>
    <xdr:to>
      <xdr:col>28</xdr:col>
      <xdr:colOff>428626</xdr:colOff>
      <xdr:row>145</xdr:row>
      <xdr:rowOff>169771</xdr:rowOff>
    </xdr:to>
    <xdr:cxnSp macro="">
      <xdr:nvCxnSpPr>
        <xdr:cNvPr id="590" name="Straight Arrow Connector 589"/>
        <xdr:cNvCxnSpPr/>
      </xdr:nvCxnSpPr>
      <xdr:spPr>
        <a:xfrm flipH="1">
          <a:off x="14535150" y="12552271"/>
          <a:ext cx="570547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85725</xdr:colOff>
      <xdr:row>87</xdr:row>
      <xdr:rowOff>12424</xdr:rowOff>
    </xdr:from>
    <xdr:to>
      <xdr:col>28</xdr:col>
      <xdr:colOff>447675</xdr:colOff>
      <xdr:row>87</xdr:row>
      <xdr:rowOff>12424</xdr:rowOff>
    </xdr:to>
    <xdr:cxnSp macro="">
      <xdr:nvCxnSpPr>
        <xdr:cNvPr id="591" name="Straight Arrow Connector 590"/>
        <xdr:cNvCxnSpPr/>
      </xdr:nvCxnSpPr>
      <xdr:spPr>
        <a:xfrm>
          <a:off x="19897725" y="1345924"/>
          <a:ext cx="361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371475</xdr:colOff>
      <xdr:row>120</xdr:row>
      <xdr:rowOff>9525</xdr:rowOff>
    </xdr:from>
    <xdr:to>
      <xdr:col>29</xdr:col>
      <xdr:colOff>9525</xdr:colOff>
      <xdr:row>120</xdr:row>
      <xdr:rowOff>9525</xdr:rowOff>
    </xdr:to>
    <xdr:cxnSp macro="">
      <xdr:nvCxnSpPr>
        <xdr:cNvPr id="592" name="Straight Arrow Connector 591"/>
        <xdr:cNvCxnSpPr/>
      </xdr:nvCxnSpPr>
      <xdr:spPr>
        <a:xfrm>
          <a:off x="19488150" y="7629525"/>
          <a:ext cx="8001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381038</xdr:colOff>
      <xdr:row>117</xdr:row>
      <xdr:rowOff>161925</xdr:rowOff>
    </xdr:from>
    <xdr:to>
      <xdr:col>27</xdr:col>
      <xdr:colOff>381038</xdr:colOff>
      <xdr:row>120</xdr:row>
      <xdr:rowOff>19050</xdr:rowOff>
    </xdr:to>
    <xdr:cxnSp macro="">
      <xdr:nvCxnSpPr>
        <xdr:cNvPr id="593" name="Straight Arrow Connector 592"/>
        <xdr:cNvCxnSpPr/>
      </xdr:nvCxnSpPr>
      <xdr:spPr>
        <a:xfrm>
          <a:off x="19497713" y="7210425"/>
          <a:ext cx="0" cy="428625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92</xdr:row>
          <xdr:rowOff>104775</xdr:rowOff>
        </xdr:from>
        <xdr:to>
          <xdr:col>9</xdr:col>
          <xdr:colOff>266700</xdr:colOff>
          <xdr:row>93</xdr:row>
          <xdr:rowOff>104775</xdr:rowOff>
        </xdr:to>
        <xdr:sp macro="" textlink="">
          <xdr:nvSpPr>
            <xdr:cNvPr id="20503" name="Button 23" hidden="1">
              <a:extLst>
                <a:ext uri="{63B3BB69-23CF-44E3-9099-C40C66FF867C}">
                  <a14:compatExt spid="_x0000_s20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105</xdr:row>
      <xdr:rowOff>4896</xdr:rowOff>
    </xdr:from>
    <xdr:to>
      <xdr:col>11</xdr:col>
      <xdr:colOff>0</xdr:colOff>
      <xdr:row>125</xdr:row>
      <xdr:rowOff>47625</xdr:rowOff>
    </xdr:to>
    <xdr:cxnSp macro="">
      <xdr:nvCxnSpPr>
        <xdr:cNvPr id="596" name="Straight Arrow Connector 595"/>
        <xdr:cNvCxnSpPr/>
      </xdr:nvCxnSpPr>
      <xdr:spPr>
        <a:xfrm>
          <a:off x="7772400" y="4767396"/>
          <a:ext cx="0" cy="385272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125</xdr:row>
      <xdr:rowOff>157296</xdr:rowOff>
    </xdr:from>
    <xdr:to>
      <xdr:col>11</xdr:col>
      <xdr:colOff>0</xdr:colOff>
      <xdr:row>128</xdr:row>
      <xdr:rowOff>123825</xdr:rowOff>
    </xdr:to>
    <xdr:cxnSp macro="">
      <xdr:nvCxnSpPr>
        <xdr:cNvPr id="597" name="Straight Arrow Connector 596"/>
        <xdr:cNvCxnSpPr/>
      </xdr:nvCxnSpPr>
      <xdr:spPr>
        <a:xfrm>
          <a:off x="7772400" y="8729796"/>
          <a:ext cx="0" cy="538029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129</xdr:row>
      <xdr:rowOff>52521</xdr:rowOff>
    </xdr:from>
    <xdr:to>
      <xdr:col>11</xdr:col>
      <xdr:colOff>0</xdr:colOff>
      <xdr:row>145</xdr:row>
      <xdr:rowOff>85725</xdr:rowOff>
    </xdr:to>
    <xdr:cxnSp macro="">
      <xdr:nvCxnSpPr>
        <xdr:cNvPr id="598" name="Straight Arrow Connector 597"/>
        <xdr:cNvCxnSpPr/>
      </xdr:nvCxnSpPr>
      <xdr:spPr>
        <a:xfrm>
          <a:off x="7772400" y="9387021"/>
          <a:ext cx="0" cy="3081204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146</xdr:row>
      <xdr:rowOff>57150</xdr:rowOff>
    </xdr:from>
    <xdr:to>
      <xdr:col>11</xdr:col>
      <xdr:colOff>0</xdr:colOff>
      <xdr:row>154</xdr:row>
      <xdr:rowOff>95250</xdr:rowOff>
    </xdr:to>
    <xdr:cxnSp macro="">
      <xdr:nvCxnSpPr>
        <xdr:cNvPr id="599" name="Straight Arrow Connector 598"/>
        <xdr:cNvCxnSpPr/>
      </xdr:nvCxnSpPr>
      <xdr:spPr>
        <a:xfrm>
          <a:off x="7772400" y="12630150"/>
          <a:ext cx="0" cy="15621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154</xdr:row>
      <xdr:rowOff>104775</xdr:rowOff>
    </xdr:from>
    <xdr:to>
      <xdr:col>24</xdr:col>
      <xdr:colOff>276225</xdr:colOff>
      <xdr:row>154</xdr:row>
      <xdr:rowOff>104775</xdr:rowOff>
    </xdr:to>
    <xdr:cxnSp macro="">
      <xdr:nvCxnSpPr>
        <xdr:cNvPr id="600" name="Straight Arrow Connector 599"/>
        <xdr:cNvCxnSpPr/>
      </xdr:nvCxnSpPr>
      <xdr:spPr>
        <a:xfrm>
          <a:off x="7781925" y="14201775"/>
          <a:ext cx="9677400" cy="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200025</xdr:colOff>
      <xdr:row>145</xdr:row>
      <xdr:rowOff>47625</xdr:rowOff>
    </xdr:from>
    <xdr:to>
      <xdr:col>25</xdr:col>
      <xdr:colOff>95250</xdr:colOff>
      <xdr:row>146</xdr:row>
      <xdr:rowOff>57150</xdr:rowOff>
    </xdr:to>
    <xdr:sp macro="" textlink="">
      <xdr:nvSpPr>
        <xdr:cNvPr id="601" name="Rounded Rectangle 600"/>
        <xdr:cNvSpPr/>
      </xdr:nvSpPr>
      <xdr:spPr>
        <a:xfrm>
          <a:off x="17383125" y="12430125"/>
          <a:ext cx="638175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/>
            <a:t>HX</a:t>
          </a:r>
        </a:p>
      </xdr:txBody>
    </xdr:sp>
    <xdr:clientData/>
  </xdr:twoCellAnchor>
  <xdr:twoCellAnchor>
    <xdr:from>
      <xdr:col>24</xdr:col>
      <xdr:colOff>272187</xdr:colOff>
      <xdr:row>146</xdr:row>
      <xdr:rowOff>95250</xdr:rowOff>
    </xdr:from>
    <xdr:to>
      <xdr:col>24</xdr:col>
      <xdr:colOff>272187</xdr:colOff>
      <xdr:row>154</xdr:row>
      <xdr:rowOff>114300</xdr:rowOff>
    </xdr:to>
    <xdr:cxnSp macro="">
      <xdr:nvCxnSpPr>
        <xdr:cNvPr id="602" name="Straight Arrow Connector 601"/>
        <xdr:cNvCxnSpPr/>
      </xdr:nvCxnSpPr>
      <xdr:spPr>
        <a:xfrm flipV="1">
          <a:off x="17455287" y="12668250"/>
          <a:ext cx="0" cy="15430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679913</xdr:colOff>
      <xdr:row>146</xdr:row>
      <xdr:rowOff>66675</xdr:rowOff>
    </xdr:from>
    <xdr:to>
      <xdr:col>24</xdr:col>
      <xdr:colOff>695325</xdr:colOff>
      <xdr:row>154</xdr:row>
      <xdr:rowOff>123825</xdr:rowOff>
    </xdr:to>
    <xdr:cxnSp macro="">
      <xdr:nvCxnSpPr>
        <xdr:cNvPr id="603" name="Straight Arrow Connector 602"/>
        <xdr:cNvCxnSpPr/>
      </xdr:nvCxnSpPr>
      <xdr:spPr>
        <a:xfrm>
          <a:off x="17863013" y="27879675"/>
          <a:ext cx="15412" cy="15811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571500</xdr:colOff>
      <xdr:row>146</xdr:row>
      <xdr:rowOff>38100</xdr:rowOff>
    </xdr:from>
    <xdr:to>
      <xdr:col>17</xdr:col>
      <xdr:colOff>571500</xdr:colOff>
      <xdr:row>149</xdr:row>
      <xdr:rowOff>180975</xdr:rowOff>
    </xdr:to>
    <xdr:cxnSp macro="">
      <xdr:nvCxnSpPr>
        <xdr:cNvPr id="604" name="Straight Arrow Connector 603"/>
        <xdr:cNvCxnSpPr/>
      </xdr:nvCxnSpPr>
      <xdr:spPr>
        <a:xfrm>
          <a:off x="12477750" y="12611100"/>
          <a:ext cx="0" cy="7143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685838</xdr:colOff>
      <xdr:row>109</xdr:row>
      <xdr:rowOff>47625</xdr:rowOff>
    </xdr:from>
    <xdr:to>
      <xdr:col>21</xdr:col>
      <xdr:colOff>685838</xdr:colOff>
      <xdr:row>117</xdr:row>
      <xdr:rowOff>142875</xdr:rowOff>
    </xdr:to>
    <xdr:cxnSp macro="">
      <xdr:nvCxnSpPr>
        <xdr:cNvPr id="605" name="Straight Arrow Connector 604"/>
        <xdr:cNvCxnSpPr/>
      </xdr:nvCxnSpPr>
      <xdr:spPr>
        <a:xfrm>
          <a:off x="15659138" y="5572125"/>
          <a:ext cx="0" cy="16192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201476</xdr:colOff>
      <xdr:row>108</xdr:row>
      <xdr:rowOff>161925</xdr:rowOff>
    </xdr:from>
    <xdr:to>
      <xdr:col>20</xdr:col>
      <xdr:colOff>201476</xdr:colOff>
      <xdr:row>117</xdr:row>
      <xdr:rowOff>66675</xdr:rowOff>
    </xdr:to>
    <xdr:cxnSp macro="">
      <xdr:nvCxnSpPr>
        <xdr:cNvPr id="606" name="Straight Arrow Connector 605"/>
        <xdr:cNvCxnSpPr/>
      </xdr:nvCxnSpPr>
      <xdr:spPr>
        <a:xfrm>
          <a:off x="14431826" y="5495925"/>
          <a:ext cx="0" cy="1619250"/>
        </a:xfrm>
        <a:prstGeom prst="straightConnector1">
          <a:avLst/>
        </a:prstGeom>
        <a:ln>
          <a:tailEnd type="non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  <xdr:twoCellAnchor>
    <xdr:from>
      <xdr:col>21</xdr:col>
      <xdr:colOff>687251</xdr:colOff>
      <xdr:row>99</xdr:row>
      <xdr:rowOff>66675</xdr:rowOff>
    </xdr:from>
    <xdr:to>
      <xdr:col>21</xdr:col>
      <xdr:colOff>687251</xdr:colOff>
      <xdr:row>108</xdr:row>
      <xdr:rowOff>104775</xdr:rowOff>
    </xdr:to>
    <xdr:cxnSp macro="">
      <xdr:nvCxnSpPr>
        <xdr:cNvPr id="607" name="Straight Arrow Connector 606"/>
        <xdr:cNvCxnSpPr/>
      </xdr:nvCxnSpPr>
      <xdr:spPr>
        <a:xfrm>
          <a:off x="15660551" y="3686175"/>
          <a:ext cx="0" cy="1752600"/>
        </a:xfrm>
        <a:prstGeom prst="straightConnector1">
          <a:avLst/>
        </a:prstGeom>
        <a:ln>
          <a:tailEnd type="non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15012</xdr:colOff>
      <xdr:row>133</xdr:row>
      <xdr:rowOff>66676</xdr:rowOff>
    </xdr:from>
    <xdr:to>
      <xdr:col>27</xdr:col>
      <xdr:colOff>15012</xdr:colOff>
      <xdr:row>137</xdr:row>
      <xdr:rowOff>0</xdr:rowOff>
    </xdr:to>
    <xdr:cxnSp macro="">
      <xdr:nvCxnSpPr>
        <xdr:cNvPr id="608" name="Straight Arrow Connector 607"/>
        <xdr:cNvCxnSpPr/>
      </xdr:nvCxnSpPr>
      <xdr:spPr>
        <a:xfrm flipV="1">
          <a:off x="19131687" y="10163176"/>
          <a:ext cx="0" cy="695324"/>
        </a:xfrm>
        <a:prstGeom prst="straightConnector1">
          <a:avLst/>
        </a:prstGeom>
        <a:ln>
          <a:tailEnd type="triangle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eam_Table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erties"/>
      <sheetName val="Functions"/>
    </sheetNames>
    <definedNames>
      <definedName name="h_ps"/>
      <definedName name="h_pt"/>
      <definedName name="hL_p"/>
      <definedName name="hL_T"/>
      <definedName name="hV_p"/>
      <definedName name="psat_t"/>
      <definedName name="s_ph"/>
      <definedName name="s_pT"/>
      <definedName name="T_ph"/>
      <definedName name="Tsat_p"/>
      <definedName name="x_ph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 anchorCtr="0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52"/>
  <sheetViews>
    <sheetView showGridLines="0" tabSelected="1" topLeftCell="A76" zoomScaleNormal="100" workbookViewId="0">
      <pane xSplit="3" topLeftCell="F1" activePane="topRight" state="frozen"/>
      <selection pane="topRight" activeCell="AF143" sqref="AF143"/>
    </sheetView>
  </sheetViews>
  <sheetFormatPr defaultRowHeight="15" x14ac:dyDescent="0.25"/>
  <cols>
    <col min="1" max="1" width="22.28515625" bestFit="1" customWidth="1"/>
    <col min="2" max="2" width="14.5703125" style="133" bestFit="1" customWidth="1"/>
    <col min="3" max="3" width="9.140625" hidden="1" customWidth="1"/>
    <col min="4" max="4" width="11.140625" bestFit="1" customWidth="1"/>
    <col min="5" max="5" width="9.140625" bestFit="1" customWidth="1"/>
    <col min="7" max="7" width="10.140625" bestFit="1" customWidth="1"/>
    <col min="8" max="8" width="10.7109375" bestFit="1" customWidth="1"/>
    <col min="9" max="9" width="10.42578125" bestFit="1" customWidth="1"/>
    <col min="10" max="10" width="9.7109375" bestFit="1" customWidth="1"/>
    <col min="11" max="11" width="9.28515625" customWidth="1"/>
    <col min="12" max="14" width="10.42578125" bestFit="1" customWidth="1"/>
    <col min="15" max="15" width="11.140625" bestFit="1" customWidth="1"/>
    <col min="16" max="16" width="10.42578125" customWidth="1"/>
    <col min="18" max="18" width="13.28515625" bestFit="1" customWidth="1"/>
    <col min="19" max="19" width="10.42578125" bestFit="1" customWidth="1"/>
    <col min="20" max="20" width="11.140625" bestFit="1" customWidth="1"/>
    <col min="22" max="22" width="10.85546875" bestFit="1" customWidth="1"/>
    <col min="23" max="23" width="7.28515625" customWidth="1"/>
    <col min="24" max="24" width="8.85546875" customWidth="1"/>
    <col min="25" max="26" width="11.140625" bestFit="1" customWidth="1"/>
    <col min="27" max="28" width="10.42578125" style="133" customWidth="1"/>
    <col min="29" max="30" width="8" style="133" customWidth="1"/>
    <col min="31" max="31" width="10.140625" bestFit="1" customWidth="1"/>
    <col min="32" max="32" width="10.5703125" customWidth="1"/>
    <col min="33" max="33" width="11.7109375" bestFit="1" customWidth="1"/>
  </cols>
  <sheetData>
    <row r="1" spans="1:33" x14ac:dyDescent="0.25">
      <c r="A1" s="1" t="s">
        <v>19</v>
      </c>
      <c r="B1" s="133" t="s">
        <v>20</v>
      </c>
      <c r="D1" s="207" t="s">
        <v>101</v>
      </c>
      <c r="E1" s="207"/>
      <c r="F1" s="207"/>
      <c r="G1" s="207"/>
      <c r="L1" s="36">
        <f>G4*J12</f>
        <v>544.83434750222125</v>
      </c>
    </row>
    <row r="2" spans="1:33" x14ac:dyDescent="0.25">
      <c r="A2" s="13"/>
      <c r="B2" s="14"/>
      <c r="I2" s="128"/>
      <c r="L2" s="25">
        <f>J8</f>
        <v>45</v>
      </c>
    </row>
    <row r="3" spans="1:33" x14ac:dyDescent="0.25">
      <c r="A3" s="1" t="s">
        <v>21</v>
      </c>
      <c r="B3" s="14"/>
      <c r="D3" s="80" t="s">
        <v>61</v>
      </c>
      <c r="L3" s="26">
        <f>J9</f>
        <v>450</v>
      </c>
    </row>
    <row r="4" spans="1:33" x14ac:dyDescent="0.25">
      <c r="A4" s="1" t="s">
        <v>24</v>
      </c>
      <c r="B4" s="14"/>
      <c r="D4" s="81">
        <f>(B10/B5/B6/24)*B16*(1-B17)+B52</f>
        <v>351</v>
      </c>
      <c r="G4" s="38">
        <v>279.84377081141207</v>
      </c>
      <c r="L4" s="32">
        <f>[1]!h_pt(L2,L3)</f>
        <v>3324.0491999267369</v>
      </c>
    </row>
    <row r="5" spans="1:33" x14ac:dyDescent="0.25">
      <c r="A5" t="s">
        <v>22</v>
      </c>
      <c r="B5" s="18">
        <v>180</v>
      </c>
      <c r="D5" s="82">
        <f>B50</f>
        <v>7098.09</v>
      </c>
    </row>
    <row r="6" spans="1:33" x14ac:dyDescent="0.25">
      <c r="A6" t="s">
        <v>23</v>
      </c>
      <c r="B6" s="19">
        <v>1</v>
      </c>
      <c r="O6" s="36">
        <f>P21/P18/(O9-O26)*1000*3.6</f>
        <v>66.110775885280106</v>
      </c>
      <c r="P6" s="30"/>
      <c r="Q6" s="30"/>
      <c r="R6" s="42">
        <v>0</v>
      </c>
      <c r="T6" s="36">
        <f>L1-O6-R6-Z6-AF8</f>
        <v>478.72357161694117</v>
      </c>
      <c r="U6" s="24"/>
      <c r="V6" s="24"/>
      <c r="W6" s="24"/>
      <c r="Z6" s="42">
        <v>0</v>
      </c>
      <c r="AA6" s="14"/>
      <c r="AB6"/>
    </row>
    <row r="7" spans="1:33" x14ac:dyDescent="0.25">
      <c r="A7" t="s">
        <v>38</v>
      </c>
      <c r="B7" s="18">
        <v>180</v>
      </c>
      <c r="D7" s="16"/>
      <c r="L7" s="28"/>
      <c r="O7" s="29">
        <f>J8-3</f>
        <v>42</v>
      </c>
      <c r="P7" s="30"/>
      <c r="Q7" s="30"/>
      <c r="R7" s="29">
        <f>J8-3</f>
        <v>42</v>
      </c>
      <c r="T7" s="29">
        <f>J8-3</f>
        <v>42</v>
      </c>
      <c r="U7" s="24"/>
      <c r="V7" s="24"/>
      <c r="W7" s="24"/>
      <c r="Z7" s="29">
        <f>J8-3</f>
        <v>42</v>
      </c>
      <c r="AA7" s="14" t="s">
        <v>100</v>
      </c>
      <c r="AB7"/>
      <c r="AF7" s="46" t="s">
        <v>54</v>
      </c>
    </row>
    <row r="8" spans="1:33" x14ac:dyDescent="0.25">
      <c r="B8" s="14"/>
      <c r="D8" s="16"/>
      <c r="I8" s="49" t="s">
        <v>42</v>
      </c>
      <c r="J8" s="50">
        <v>45</v>
      </c>
      <c r="O8" s="31">
        <f>L3-5</f>
        <v>445</v>
      </c>
      <c r="P8" s="30"/>
      <c r="Q8" s="30"/>
      <c r="R8" s="31">
        <f>J9-5</f>
        <v>445</v>
      </c>
      <c r="T8" s="31">
        <f>J9-5</f>
        <v>445</v>
      </c>
      <c r="U8" s="24"/>
      <c r="V8" s="24"/>
      <c r="W8" s="24"/>
      <c r="Z8" s="31">
        <f>J9-5</f>
        <v>445</v>
      </c>
      <c r="AA8" s="14"/>
      <c r="AB8"/>
      <c r="AF8" s="86">
        <v>0</v>
      </c>
    </row>
    <row r="9" spans="1:33" x14ac:dyDescent="0.25">
      <c r="A9" s="1" t="s">
        <v>29</v>
      </c>
      <c r="B9" s="14"/>
      <c r="E9" s="39">
        <f>D4-G4</f>
        <v>71.156229188587929</v>
      </c>
      <c r="I9" s="4" t="s">
        <v>43</v>
      </c>
      <c r="J9" s="51">
        <v>450</v>
      </c>
      <c r="O9" s="32">
        <f>[1]!h_pt(O7,O8)</f>
        <v>3316.6094534062295</v>
      </c>
      <c r="P9" s="30"/>
      <c r="Q9" s="30"/>
      <c r="R9" s="32">
        <f>[1]!h_pt(R7,R8)</f>
        <v>3316.6094534062295</v>
      </c>
      <c r="T9" s="32">
        <f>[1]!h_pt(R7,R8)</f>
        <v>3316.6094534062295</v>
      </c>
      <c r="U9" s="14"/>
      <c r="V9" s="14"/>
      <c r="W9" s="14"/>
      <c r="Z9" s="32">
        <f>[1]!h_pt(R7,R8)</f>
        <v>3316.6094534062295</v>
      </c>
      <c r="AA9" s="14"/>
      <c r="AB9"/>
    </row>
    <row r="10" spans="1:33" x14ac:dyDescent="0.25">
      <c r="A10" t="s">
        <v>18</v>
      </c>
      <c r="B10" s="20">
        <v>4320000</v>
      </c>
      <c r="E10" s="79" t="s">
        <v>62</v>
      </c>
      <c r="I10" s="4" t="s">
        <v>44</v>
      </c>
      <c r="J10" s="52">
        <v>0.05</v>
      </c>
      <c r="O10" s="34">
        <f>[1]!s_pT(O7,O8)</f>
        <v>6.8968037688027497</v>
      </c>
      <c r="R10" s="34">
        <f>[1]!s_pT(O7,O8)</f>
        <v>6.8968037688027497</v>
      </c>
      <c r="T10" s="34">
        <f>[1]!s_pT(O7,O8)</f>
        <v>6.8968037688027497</v>
      </c>
      <c r="U10" s="14"/>
      <c r="V10" s="14"/>
      <c r="W10" s="14"/>
      <c r="Z10" s="34">
        <f>[1]!s_pT(O7,O8)</f>
        <v>6.8968037688027497</v>
      </c>
      <c r="AA10" s="14"/>
      <c r="AB10"/>
    </row>
    <row r="11" spans="1:33" x14ac:dyDescent="0.25">
      <c r="A11" t="s">
        <v>1</v>
      </c>
      <c r="B11" s="19">
        <v>0.06</v>
      </c>
      <c r="I11" s="4" t="s">
        <v>45</v>
      </c>
      <c r="J11" s="52">
        <v>0.8</v>
      </c>
      <c r="T11" s="14"/>
      <c r="U11" s="14"/>
      <c r="Z11" s="14"/>
      <c r="AA11" s="14"/>
      <c r="AB11"/>
    </row>
    <row r="12" spans="1:33" x14ac:dyDescent="0.25">
      <c r="A12" s="8" t="s">
        <v>32</v>
      </c>
      <c r="B12" s="19"/>
      <c r="I12" s="6" t="s">
        <v>0</v>
      </c>
      <c r="J12" s="53">
        <f>((J11*D5*(1-J10))/(J10*(L18-H18)+(L4-H18)*(1-J10)))</f>
        <v>1.9469232633710738</v>
      </c>
      <c r="T12" s="14"/>
      <c r="U12" s="14"/>
      <c r="Z12" s="14"/>
      <c r="AA12" s="14"/>
      <c r="AB12"/>
    </row>
    <row r="13" spans="1:33" x14ac:dyDescent="0.25">
      <c r="A13" s="8" t="s">
        <v>31</v>
      </c>
      <c r="B13" s="18"/>
      <c r="T13" s="14"/>
      <c r="Z13" s="14"/>
      <c r="AD13" s="19"/>
    </row>
    <row r="14" spans="1:33" x14ac:dyDescent="0.25">
      <c r="B14" s="14"/>
      <c r="AD14" s="19"/>
    </row>
    <row r="15" spans="1:33" x14ac:dyDescent="0.25">
      <c r="A15" s="1" t="s">
        <v>25</v>
      </c>
      <c r="B15" s="14"/>
      <c r="H15" s="36">
        <f>L1/(1-J10)</f>
        <v>573.50983947602242</v>
      </c>
      <c r="L15" s="36">
        <f>J10*H15</f>
        <v>28.675491973801122</v>
      </c>
      <c r="AD15" s="19"/>
      <c r="AF15" s="22">
        <f>B32</f>
        <v>28</v>
      </c>
      <c r="AG15" t="s">
        <v>16</v>
      </c>
    </row>
    <row r="16" spans="1:33" x14ac:dyDescent="0.25">
      <c r="A16" t="s">
        <v>33</v>
      </c>
      <c r="B16" s="19">
        <v>0.3</v>
      </c>
      <c r="H16" s="21">
        <f>1.2*J8</f>
        <v>54</v>
      </c>
      <c r="L16" s="25">
        <f>J8</f>
        <v>45</v>
      </c>
      <c r="O16" s="15"/>
      <c r="P16" s="68" t="s">
        <v>64</v>
      </c>
      <c r="AD16" s="19"/>
      <c r="AF16" s="14"/>
    </row>
    <row r="17" spans="1:33" x14ac:dyDescent="0.25">
      <c r="A17" t="s">
        <v>26</v>
      </c>
      <c r="B17" s="19">
        <v>0.03</v>
      </c>
      <c r="H17" s="37">
        <f>H59</f>
        <v>104.76852342482843</v>
      </c>
      <c r="L17" s="31">
        <f>[1]!Tsat_p(L16)</f>
        <v>257.43937131084681</v>
      </c>
      <c r="O17" s="15"/>
      <c r="P17" s="44" t="s">
        <v>49</v>
      </c>
      <c r="W17" s="49" t="s">
        <v>51</v>
      </c>
      <c r="X17" s="158">
        <v>0.81</v>
      </c>
      <c r="AC17" s="49" t="s">
        <v>51</v>
      </c>
      <c r="AD17" s="158">
        <v>0.81</v>
      </c>
      <c r="AF17" s="22">
        <f>B33</f>
        <v>21</v>
      </c>
      <c r="AG17" t="s">
        <v>17</v>
      </c>
    </row>
    <row r="18" spans="1:33" x14ac:dyDescent="0.25">
      <c r="A18" t="s">
        <v>27</v>
      </c>
      <c r="B18" s="19">
        <v>0.5</v>
      </c>
      <c r="H18" s="32">
        <f>[1]!h_pt(H16,H17)</f>
        <v>443.14699569149485</v>
      </c>
      <c r="L18" s="32">
        <f>[1]!hL_T(L17)</f>
        <v>1122.1429927816589</v>
      </c>
      <c r="P18" s="179">
        <v>0.72</v>
      </c>
      <c r="W18" s="154" t="s">
        <v>52</v>
      </c>
      <c r="X18" s="159">
        <v>0.81</v>
      </c>
      <c r="AC18" s="154" t="s">
        <v>52</v>
      </c>
      <c r="AD18" s="159">
        <v>0.81</v>
      </c>
      <c r="AF18" s="14"/>
    </row>
    <row r="19" spans="1:33" x14ac:dyDescent="0.25">
      <c r="A19" s="133" t="s">
        <v>28</v>
      </c>
      <c r="B19" s="152">
        <v>1.4999999999999999E-2</v>
      </c>
      <c r="K19" s="12"/>
      <c r="L19" s="27"/>
      <c r="P19" s="180">
        <v>0.95</v>
      </c>
      <c r="W19" s="154" t="s">
        <v>50</v>
      </c>
      <c r="X19" s="159">
        <v>0.98</v>
      </c>
      <c r="AC19" s="154" t="s">
        <v>50</v>
      </c>
      <c r="AD19" s="159">
        <v>0.98</v>
      </c>
      <c r="AF19" s="14"/>
    </row>
    <row r="20" spans="1:33" x14ac:dyDescent="0.25">
      <c r="A20" s="133" t="s">
        <v>31</v>
      </c>
      <c r="B20" s="152">
        <v>0.04</v>
      </c>
      <c r="W20" s="156" t="s">
        <v>53</v>
      </c>
      <c r="X20" s="160">
        <v>0.95</v>
      </c>
      <c r="AC20" s="156" t="s">
        <v>53</v>
      </c>
      <c r="AD20" s="160">
        <v>0.95</v>
      </c>
      <c r="AF20" s="22">
        <f>B34</f>
        <v>5</v>
      </c>
      <c r="AG20" t="s">
        <v>39</v>
      </c>
    </row>
    <row r="21" spans="1:33" x14ac:dyDescent="0.25">
      <c r="M21" s="11"/>
      <c r="P21" s="56">
        <v>6</v>
      </c>
      <c r="R21" s="35">
        <f>R6</f>
        <v>0</v>
      </c>
      <c r="T21" s="38">
        <v>46.7</v>
      </c>
      <c r="V21" s="163">
        <f>(T6*(T9-T24)+V23*(T24-V26))/3600*X19*X20</f>
        <v>61.585977268055487</v>
      </c>
      <c r="Z21" s="38">
        <v>0</v>
      </c>
      <c r="AB21" s="163">
        <f>(Z6*(Z9-Z24)+AB23*(Z24-AB26))/3600*AD19*AD20</f>
        <v>0</v>
      </c>
      <c r="AC21" s="55"/>
      <c r="AD21" s="55"/>
      <c r="AF21" s="14"/>
    </row>
    <row r="22" spans="1:33" x14ac:dyDescent="0.25">
      <c r="B22" s="14"/>
      <c r="R22" s="21">
        <v>5</v>
      </c>
      <c r="T22" s="17">
        <v>14</v>
      </c>
      <c r="Z22" s="17">
        <v>14</v>
      </c>
      <c r="AA22"/>
      <c r="AF22" s="22">
        <f>V21+AB21-AF15-AF17-AF20</f>
        <v>7.5859772680554869</v>
      </c>
      <c r="AG22" t="s">
        <v>57</v>
      </c>
    </row>
    <row r="23" spans="1:33" x14ac:dyDescent="0.25">
      <c r="B23" s="14"/>
      <c r="O23" s="61">
        <f>O6</f>
        <v>66.110775885280106</v>
      </c>
      <c r="R23" s="31">
        <f>[1]!T_ph(R22,R24)</f>
        <v>421.09732734941758</v>
      </c>
      <c r="T23" s="40">
        <f>[1]!T_ph(T22,T24)</f>
        <v>311.61008827354067</v>
      </c>
      <c r="V23" s="36">
        <f>T6-T21</f>
        <v>432.02357161694118</v>
      </c>
      <c r="Z23" s="40">
        <f>[1]!T_ph(Z22,Z24)</f>
        <v>311.61008827354067</v>
      </c>
      <c r="AB23" s="36">
        <f>Z6-Z21</f>
        <v>0</v>
      </c>
      <c r="AC23" s="36"/>
      <c r="AD23" s="36"/>
    </row>
    <row r="24" spans="1:33" x14ac:dyDescent="0.25">
      <c r="A24" s="1" t="s">
        <v>30</v>
      </c>
      <c r="B24" s="14"/>
      <c r="L24" s="58">
        <v>3</v>
      </c>
      <c r="O24" s="58">
        <v>3</v>
      </c>
      <c r="R24" s="45">
        <f>R9</f>
        <v>3316.6094534062295</v>
      </c>
      <c r="T24" s="41">
        <f>T9-X17*(T9-[1]!h_ps(T22,T10))</f>
        <v>3066.5432845854625</v>
      </c>
      <c r="V24" s="21">
        <v>3</v>
      </c>
      <c r="Z24" s="41">
        <f>Z9-AD17*(Z9-[1]!h_ps(Z22,Z10))</f>
        <v>3066.5432845854625</v>
      </c>
      <c r="AB24" s="25">
        <f>AC51</f>
        <v>7.4999999999999997E-2</v>
      </c>
      <c r="AC24" s="25"/>
      <c r="AD24" s="25"/>
    </row>
    <row r="25" spans="1:33" x14ac:dyDescent="0.25">
      <c r="A25" t="s">
        <v>34</v>
      </c>
      <c r="B25" s="19">
        <v>0.5</v>
      </c>
      <c r="L25" s="60">
        <f>[1]!x_ph(L24,L18)</f>
        <v>0.25916528896653551</v>
      </c>
      <c r="O25" s="63">
        <f>[1]!T_ph(O24,O26)</f>
        <v>198.48030767122617</v>
      </c>
      <c r="T25" s="33">
        <f>[1]!s_pT(T22,T23)</f>
        <v>6.9994575604430835</v>
      </c>
      <c r="V25" s="31">
        <f>[1]!T_ph(V24,V26)</f>
        <v>164.63394127032711</v>
      </c>
      <c r="Z25" s="33">
        <f>[1]!s_pT(Z22,Z23)</f>
        <v>6.9994575604430835</v>
      </c>
      <c r="AB25" s="31">
        <f>[1]!T_ph(AB24,AB26)</f>
        <v>40.29159033149449</v>
      </c>
      <c r="AC25" s="31"/>
      <c r="AD25" s="31"/>
    </row>
    <row r="26" spans="1:33" x14ac:dyDescent="0.25">
      <c r="A26" t="s">
        <v>35</v>
      </c>
      <c r="B26" s="21">
        <v>2.2999999999999998</v>
      </c>
      <c r="O26" s="64">
        <f>O9-P18*(O9-[1]!h_ps(O24,O10))</f>
        <v>2862.8256398255503</v>
      </c>
      <c r="V26" s="32">
        <f>T24-X18*(T24-[1]!h_ps(V24,T25))</f>
        <v>2792.4177419405009</v>
      </c>
      <c r="AB26" s="32">
        <f>Z24-AD18*(Z24-[1]!h_ps(AB24,Z25))</f>
        <v>2350.0910189247502</v>
      </c>
      <c r="AC26" s="32"/>
      <c r="AD26" s="32"/>
    </row>
    <row r="27" spans="1:33" x14ac:dyDescent="0.25">
      <c r="A27" t="s">
        <v>48</v>
      </c>
      <c r="B27" s="37">
        <f>[1]!Tsat_p(B26)+1</f>
        <v>125.68750868940305</v>
      </c>
      <c r="K27" s="14"/>
      <c r="AF27" s="1" t="s">
        <v>55</v>
      </c>
    </row>
    <row r="28" spans="1:33" x14ac:dyDescent="0.25">
      <c r="A28" t="s">
        <v>36</v>
      </c>
      <c r="B28" s="42">
        <v>46.7</v>
      </c>
      <c r="K28" s="62">
        <f>L15-M28</f>
        <v>21.243799810153384</v>
      </c>
      <c r="M28" s="36">
        <f>L25*L15</f>
        <v>7.431692163647738</v>
      </c>
      <c r="S28" s="71">
        <f>T21+Z21</f>
        <v>46.7</v>
      </c>
      <c r="AF28" s="35">
        <f>S28-AF33-I42</f>
        <v>0</v>
      </c>
    </row>
    <row r="29" spans="1:33" x14ac:dyDescent="0.25">
      <c r="A29" t="s">
        <v>37</v>
      </c>
      <c r="B29" s="21">
        <v>14</v>
      </c>
      <c r="K29" s="57">
        <f>L24</f>
        <v>3</v>
      </c>
      <c r="M29" s="59">
        <f>L24</f>
        <v>3</v>
      </c>
      <c r="S29" s="72">
        <f>IF(T22&gt;Z22,T22,Z22)</f>
        <v>14</v>
      </c>
    </row>
    <row r="30" spans="1:33" x14ac:dyDescent="0.25">
      <c r="B30" s="14"/>
      <c r="K30" s="63">
        <f>[1]!T_ph(K29,K31)</f>
        <v>133.54199141940632</v>
      </c>
      <c r="M30" s="31">
        <f>[1]!T_ph(M29,M31)</f>
        <v>133.51815045080383</v>
      </c>
      <c r="S30" s="73">
        <f>[1]!T_ph(S29,S31)</f>
        <v>311.61008827354078</v>
      </c>
    </row>
    <row r="31" spans="1:33" x14ac:dyDescent="0.25">
      <c r="A31" s="1" t="s">
        <v>41</v>
      </c>
      <c r="B31" s="14"/>
      <c r="K31" s="41">
        <f>[1]!hL_p(K29)</f>
        <v>561.45541025710759</v>
      </c>
      <c r="M31" s="32">
        <f>[1]!hV_p(M29)</f>
        <v>2724.8916665566508</v>
      </c>
      <c r="S31" s="74">
        <f>(T21*T24+Z21*Z24)/(T21+Z21)</f>
        <v>3066.543284585463</v>
      </c>
    </row>
    <row r="32" spans="1:33" x14ac:dyDescent="0.25">
      <c r="A32" t="s">
        <v>16</v>
      </c>
      <c r="B32" s="23">
        <v>28</v>
      </c>
      <c r="N32" s="14"/>
      <c r="AF32" s="46" t="s">
        <v>63</v>
      </c>
    </row>
    <row r="33" spans="1:32" x14ac:dyDescent="0.25">
      <c r="A33" t="s">
        <v>17</v>
      </c>
      <c r="B33" s="23">
        <v>21</v>
      </c>
      <c r="K33" s="208"/>
      <c r="L33" s="208"/>
      <c r="N33" s="14"/>
      <c r="R33" s="36">
        <f>R21+P52</f>
        <v>0</v>
      </c>
      <c r="AF33" s="86">
        <f>B28</f>
        <v>46.7</v>
      </c>
    </row>
    <row r="34" spans="1:32" x14ac:dyDescent="0.25">
      <c r="A34" t="s">
        <v>39</v>
      </c>
      <c r="B34" s="23">
        <v>5</v>
      </c>
      <c r="R34" s="25">
        <f>O24</f>
        <v>3</v>
      </c>
    </row>
    <row r="35" spans="1:32" x14ac:dyDescent="0.25">
      <c r="B35" s="14"/>
      <c r="R35" s="26">
        <f>O25</f>
        <v>198.48030767122617</v>
      </c>
    </row>
    <row r="36" spans="1:32" x14ac:dyDescent="0.25">
      <c r="A36" s="1" t="s">
        <v>40</v>
      </c>
      <c r="B36" s="14"/>
      <c r="E36" s="27"/>
      <c r="R36" s="45">
        <f>O26</f>
        <v>2862.8256398255503</v>
      </c>
      <c r="U36" s="2"/>
      <c r="V36" s="2"/>
      <c r="AF36" s="1" t="s">
        <v>55</v>
      </c>
    </row>
    <row r="37" spans="1:32" x14ac:dyDescent="0.25">
      <c r="A37" t="s">
        <v>16</v>
      </c>
      <c r="B37" s="23">
        <v>4.5</v>
      </c>
      <c r="G37" s="172"/>
      <c r="N37" s="71">
        <f>O23+R33+V23</f>
        <v>498.13434750222132</v>
      </c>
      <c r="AF37" s="67">
        <f>N37-Y41-T41-AF41</f>
        <v>-8.7410159466116966E-7</v>
      </c>
    </row>
    <row r="38" spans="1:32" x14ac:dyDescent="0.25">
      <c r="A38" t="s">
        <v>17</v>
      </c>
      <c r="B38" s="23">
        <v>21</v>
      </c>
      <c r="N38" s="75">
        <f>V24</f>
        <v>3</v>
      </c>
      <c r="AE38" s="1"/>
    </row>
    <row r="39" spans="1:32" x14ac:dyDescent="0.25">
      <c r="A39" t="s">
        <v>39</v>
      </c>
      <c r="B39" s="23">
        <v>4</v>
      </c>
      <c r="N39" s="73">
        <f>[1]!T_ph(N38,N40)</f>
        <v>169.06852169693701</v>
      </c>
    </row>
    <row r="40" spans="1:32" x14ac:dyDescent="0.25">
      <c r="B40" s="14"/>
      <c r="N40" s="74">
        <f>(O23*O26+R33*R36+V23*V26)/(N37)</f>
        <v>2801.7620499188047</v>
      </c>
      <c r="AF40" s="46" t="s">
        <v>59</v>
      </c>
    </row>
    <row r="41" spans="1:32" x14ac:dyDescent="0.25">
      <c r="A41" s="1" t="s">
        <v>82</v>
      </c>
      <c r="T41" s="36">
        <f>(V50*(V53-V67)+P52*(P55-V67)+P64*(P67-V67)+AB54*(V67-AB57)+AF58*(V67-AF61)+I50*(V67-I53)+M28*(V67-M31))/(T44-V67)</f>
        <v>16.525890059800751</v>
      </c>
      <c r="Y41" s="36">
        <f>AF45-V50</f>
        <v>481.60845831652216</v>
      </c>
      <c r="AF41" s="86">
        <v>0</v>
      </c>
    </row>
    <row r="42" spans="1:32" x14ac:dyDescent="0.25">
      <c r="A42" t="s">
        <v>83</v>
      </c>
      <c r="B42" s="18">
        <v>4</v>
      </c>
      <c r="I42" s="36">
        <f>(H15*(H18-H60)/(I45-I53))</f>
        <v>0</v>
      </c>
      <c r="J42" s="76"/>
      <c r="T42" s="25">
        <f>N38</f>
        <v>3</v>
      </c>
      <c r="Y42" s="25">
        <f>N38</f>
        <v>3</v>
      </c>
    </row>
    <row r="43" spans="1:32" x14ac:dyDescent="0.25">
      <c r="A43" t="s">
        <v>84</v>
      </c>
      <c r="B43" s="19">
        <v>0.8</v>
      </c>
      <c r="I43" s="25">
        <f>S29</f>
        <v>14</v>
      </c>
      <c r="T43" s="26">
        <f>N39</f>
        <v>169.06852169693701</v>
      </c>
      <c r="Y43" s="26">
        <f>N39</f>
        <v>169.06852169693701</v>
      </c>
    </row>
    <row r="44" spans="1:32" x14ac:dyDescent="0.25">
      <c r="I44" s="26">
        <f>S30</f>
        <v>311.61008827354078</v>
      </c>
      <c r="T44" s="45">
        <f>N40</f>
        <v>2801.7620499188047</v>
      </c>
      <c r="Y44" s="45">
        <f>N40</f>
        <v>2801.7620499188047</v>
      </c>
      <c r="AF44" s="46" t="s">
        <v>4</v>
      </c>
    </row>
    <row r="45" spans="1:32" x14ac:dyDescent="0.25">
      <c r="A45" s="1" t="s">
        <v>85</v>
      </c>
      <c r="I45" s="45">
        <f>S31</f>
        <v>3066.543284585463</v>
      </c>
      <c r="AF45" s="87">
        <f>B51*B25</f>
        <v>500</v>
      </c>
    </row>
    <row r="46" spans="1:32" x14ac:dyDescent="0.25">
      <c r="A46" t="s">
        <v>86</v>
      </c>
      <c r="B46" s="18">
        <v>1</v>
      </c>
      <c r="AF46" s="47">
        <f>B26</f>
        <v>2.2999999999999998</v>
      </c>
    </row>
    <row r="47" spans="1:32" x14ac:dyDescent="0.25">
      <c r="A47" s="133" t="s">
        <v>87</v>
      </c>
      <c r="B47" s="18">
        <v>1</v>
      </c>
      <c r="AF47" s="48">
        <f>B27</f>
        <v>125.68750868940305</v>
      </c>
    </row>
    <row r="48" spans="1:32" x14ac:dyDescent="0.25">
      <c r="AA48" s="15"/>
      <c r="AD48" s="15"/>
      <c r="AF48" s="66">
        <f>[1]!h_pt(AF46,AF47)</f>
        <v>2714.8610157432636</v>
      </c>
    </row>
    <row r="49" spans="1:33" x14ac:dyDescent="0.25">
      <c r="A49" s="1" t="s">
        <v>46</v>
      </c>
    </row>
    <row r="50" spans="1:33" x14ac:dyDescent="0.25">
      <c r="A50" t="s">
        <v>3</v>
      </c>
      <c r="B50" s="32">
        <f>18309-207.6*B18*100-31.14*B19*100-196.05*B20*100</f>
        <v>7098.09</v>
      </c>
      <c r="I50" s="35">
        <f>I42</f>
        <v>0</v>
      </c>
      <c r="V50" s="39">
        <f>AF45*(AF48-N40)/(V53-N40)</f>
        <v>18.391541683477818</v>
      </c>
      <c r="AF50" s="35"/>
    </row>
    <row r="51" spans="1:33" x14ac:dyDescent="0.25">
      <c r="A51" t="s">
        <v>47</v>
      </c>
      <c r="B51" s="36">
        <f>B10/B5/B6/24</f>
        <v>1000</v>
      </c>
      <c r="I51" s="25">
        <f>I43</f>
        <v>14</v>
      </c>
      <c r="V51" s="65">
        <f>P53</f>
        <v>5.5</v>
      </c>
      <c r="AB51" s="15" t="s">
        <v>42</v>
      </c>
      <c r="AC51" s="21">
        <v>7.4999999999999997E-2</v>
      </c>
      <c r="AF51" s="25"/>
    </row>
    <row r="52" spans="1:33" x14ac:dyDescent="0.25">
      <c r="A52" t="s">
        <v>65</v>
      </c>
      <c r="B52" s="36">
        <f>B11*B10/24/B5/B6</f>
        <v>60</v>
      </c>
      <c r="I52" s="32">
        <f>[1]!T_ph(I51,I53)</f>
        <v>195.05824323172402</v>
      </c>
      <c r="P52" s="39">
        <f>(R21*(R36-R24)/(P55-R36))</f>
        <v>0</v>
      </c>
      <c r="V52" s="43">
        <f>T65</f>
        <v>104.76852342482843</v>
      </c>
      <c r="AF52" s="31"/>
    </row>
    <row r="53" spans="1:33" x14ac:dyDescent="0.25">
      <c r="B53" s="32"/>
      <c r="I53" s="32">
        <f>[1]!hL_p(I51)</f>
        <v>830.13214164679118</v>
      </c>
      <c r="P53" s="65">
        <f>R22*1.1</f>
        <v>5.5</v>
      </c>
      <c r="V53" s="27">
        <f>T67</f>
        <v>439.23487109047136</v>
      </c>
      <c r="AA53" s="35"/>
      <c r="AC53" s="35"/>
      <c r="AD53" s="35"/>
      <c r="AF53" s="32"/>
    </row>
    <row r="54" spans="1:33" x14ac:dyDescent="0.25">
      <c r="P54" s="43">
        <f>T65</f>
        <v>104.76852342482843</v>
      </c>
      <c r="AA54" s="21"/>
      <c r="AB54" s="35">
        <f>AB23</f>
        <v>0</v>
      </c>
      <c r="AC54" s="21"/>
      <c r="AD54" s="21"/>
    </row>
    <row r="55" spans="1:33" x14ac:dyDescent="0.25">
      <c r="P55" s="27">
        <f>T67</f>
        <v>439.23487109047136</v>
      </c>
      <c r="AA55" s="31"/>
      <c r="AB55" s="21">
        <v>4</v>
      </c>
      <c r="AC55" s="31"/>
      <c r="AD55" s="31"/>
    </row>
    <row r="56" spans="1:33" x14ac:dyDescent="0.25">
      <c r="AA56" s="32"/>
      <c r="AB56" s="31">
        <f>[1]!T_ph(AB55,AB57)</f>
        <v>40.223711016855475</v>
      </c>
      <c r="AC56" s="32"/>
      <c r="AD56" s="32"/>
    </row>
    <row r="57" spans="1:33" x14ac:dyDescent="0.25">
      <c r="H57" s="35">
        <f>H15</f>
        <v>573.50983947602242</v>
      </c>
      <c r="Z57" s="14"/>
      <c r="AA57" s="14"/>
      <c r="AB57" s="32">
        <f>[1]!hL_p(AC51)</f>
        <v>168.75964207693656</v>
      </c>
      <c r="AC57" s="14"/>
      <c r="AD57" s="14"/>
      <c r="AF57" s="46" t="s">
        <v>56</v>
      </c>
    </row>
    <row r="58" spans="1:33" x14ac:dyDescent="0.25">
      <c r="H58" s="25">
        <f>H16</f>
        <v>54</v>
      </c>
      <c r="AF58" s="86">
        <f>0.9*AF45</f>
        <v>450</v>
      </c>
    </row>
    <row r="59" spans="1:33" x14ac:dyDescent="0.25">
      <c r="H59" s="26">
        <f>T65</f>
        <v>104.76852342482843</v>
      </c>
      <c r="AF59" s="77">
        <v>4</v>
      </c>
    </row>
    <row r="60" spans="1:33" x14ac:dyDescent="0.25">
      <c r="H60" s="32">
        <f>[1]!h_pt(H58,H59)</f>
        <v>443.14699569149485</v>
      </c>
      <c r="AF60" s="78">
        <v>90</v>
      </c>
    </row>
    <row r="61" spans="1:33" x14ac:dyDescent="0.25">
      <c r="AF61" s="66">
        <f>[1]!h_pt(AF59,AF60)</f>
        <v>377.22363852334036</v>
      </c>
    </row>
    <row r="63" spans="1:33" x14ac:dyDescent="0.25">
      <c r="AF63" s="46" t="s">
        <v>5</v>
      </c>
    </row>
    <row r="64" spans="1:33" x14ac:dyDescent="0.25">
      <c r="P64" s="35">
        <f>H15</f>
        <v>573.50983947602242</v>
      </c>
      <c r="V64" s="61">
        <f>AF64</f>
        <v>117.94379893605173</v>
      </c>
      <c r="X64" s="133"/>
      <c r="AF64" s="86">
        <v>117.94379893605173</v>
      </c>
      <c r="AG64" s="125">
        <f>P64+P52+V50-M28-I50-AB54-AF58-T41</f>
        <v>117.94379893605173</v>
      </c>
    </row>
    <row r="65" spans="4:33" x14ac:dyDescent="0.25">
      <c r="P65" s="25">
        <f>T66</f>
        <v>1.199365413994592</v>
      </c>
      <c r="S65" s="3" t="s">
        <v>43</v>
      </c>
      <c r="T65" s="83">
        <v>104.76852342482843</v>
      </c>
      <c r="V65" s="161">
        <f>AF65-1</f>
        <v>3</v>
      </c>
      <c r="X65" s="133"/>
      <c r="AF65" s="77">
        <v>4</v>
      </c>
    </row>
    <row r="66" spans="4:33" x14ac:dyDescent="0.25">
      <c r="P66" s="26">
        <f>T65</f>
        <v>104.76852342482843</v>
      </c>
      <c r="S66" s="4" t="s">
        <v>42</v>
      </c>
      <c r="T66" s="84">
        <f>[1]!psat_t(T65)</f>
        <v>1.199365413994592</v>
      </c>
      <c r="V66" s="63">
        <f>[1]!T_ph(V65,V67)</f>
        <v>47.904270548670297</v>
      </c>
      <c r="X66" s="133"/>
      <c r="Z66" s="35">
        <f>K28</f>
        <v>21.243799810153384</v>
      </c>
      <c r="AA66" s="35"/>
      <c r="AB66" s="35"/>
      <c r="AC66" s="35"/>
      <c r="AD66" s="35"/>
      <c r="AF66" s="78">
        <v>30</v>
      </c>
    </row>
    <row r="67" spans="4:33" x14ac:dyDescent="0.25">
      <c r="P67" s="45">
        <f>T67</f>
        <v>439.23487109047136</v>
      </c>
      <c r="S67" s="6" t="s">
        <v>60</v>
      </c>
      <c r="T67" s="85">
        <f>[1]!hL_T(T65)</f>
        <v>439.23487109047136</v>
      </c>
      <c r="V67" s="162">
        <f>AF67+(K28*(K31-Z69)/AF64)</f>
        <v>200.78140668830969</v>
      </c>
      <c r="X67" s="133"/>
      <c r="Z67" s="129">
        <f>K29-0.5</f>
        <v>2.5</v>
      </c>
      <c r="AA67" s="129"/>
      <c r="AB67" s="129"/>
      <c r="AC67" s="129"/>
      <c r="AD67" s="129"/>
      <c r="AF67" s="66">
        <f>[1]!h_pt(AF65,AF66)</f>
        <v>126.10612108612105</v>
      </c>
    </row>
    <row r="68" spans="4:33" x14ac:dyDescent="0.25">
      <c r="T68" s="128"/>
      <c r="Z68" s="131">
        <f>AF66+5</f>
        <v>35</v>
      </c>
      <c r="AA68" s="131"/>
      <c r="AB68" s="131"/>
      <c r="AC68" s="131"/>
      <c r="AD68" s="131"/>
    </row>
    <row r="69" spans="4:33" x14ac:dyDescent="0.25">
      <c r="R69" s="134" t="s">
        <v>81</v>
      </c>
      <c r="Z69" s="130">
        <f>[1]!h_pt(Z67,Z68)</f>
        <v>146.86447317120655</v>
      </c>
      <c r="AA69" s="130"/>
      <c r="AB69" s="130"/>
      <c r="AC69" s="130"/>
      <c r="AD69" s="130"/>
    </row>
    <row r="70" spans="4:33" x14ac:dyDescent="0.25">
      <c r="R70" s="147">
        <f>V64+AB54+AF58+T41+I50+M28-P64-P52-V50</f>
        <v>0</v>
      </c>
    </row>
    <row r="71" spans="4:33" x14ac:dyDescent="0.25">
      <c r="R71" s="148">
        <f>V64*V67+AB54*AB57+T41*T44+I50*I53+M28*M31+AF58*AF61-P64*P67-P52*P55-V50*V53</f>
        <v>-1.6370904631912708E-11</v>
      </c>
      <c r="T71" s="88"/>
    </row>
    <row r="73" spans="4:33" x14ac:dyDescent="0.25">
      <c r="Z73" s="1" t="s">
        <v>58</v>
      </c>
      <c r="AA73" s="1"/>
      <c r="AB73" s="1"/>
      <c r="AC73" s="1"/>
      <c r="AD73" s="1"/>
    </row>
    <row r="80" spans="4:33" x14ac:dyDescent="0.25">
      <c r="D80" s="69"/>
      <c r="E80" s="69"/>
      <c r="F80" s="69"/>
      <c r="G80" s="69"/>
      <c r="H80" s="69"/>
      <c r="I80" s="69"/>
      <c r="J80" s="69"/>
      <c r="K80" s="69"/>
      <c r="L80" s="36">
        <f>G83*J91</f>
        <v>138.53571794102567</v>
      </c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E80" s="69"/>
      <c r="AF80" s="69"/>
      <c r="AG80" s="69"/>
    </row>
    <row r="81" spans="4:33" x14ac:dyDescent="0.25">
      <c r="D81" s="69"/>
      <c r="E81" s="69"/>
      <c r="F81" s="69"/>
      <c r="G81" s="69"/>
      <c r="H81" s="69"/>
      <c r="I81" s="69"/>
      <c r="J81" s="69"/>
      <c r="K81" s="69"/>
      <c r="L81" s="25">
        <f>J87</f>
        <v>45</v>
      </c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E81" s="69"/>
      <c r="AF81" s="69"/>
      <c r="AG81" s="69"/>
    </row>
    <row r="82" spans="4:33" x14ac:dyDescent="0.25">
      <c r="D82" s="89"/>
      <c r="E82" s="69"/>
      <c r="F82" s="69"/>
      <c r="G82" s="69"/>
      <c r="H82" s="69"/>
      <c r="I82" s="69"/>
      <c r="J82" s="69"/>
      <c r="K82" s="69"/>
      <c r="L82" s="26">
        <f>J88</f>
        <v>450</v>
      </c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E82" s="69"/>
      <c r="AF82" s="69"/>
      <c r="AG82" s="69"/>
    </row>
    <row r="83" spans="4:33" x14ac:dyDescent="0.25">
      <c r="D83" s="90"/>
      <c r="E83" s="69"/>
      <c r="F83" s="69"/>
      <c r="G83" s="135">
        <f>E9</f>
        <v>71.156229188587929</v>
      </c>
      <c r="H83" s="69"/>
      <c r="I83" s="69"/>
      <c r="J83" s="69"/>
      <c r="K83" s="69"/>
      <c r="L83" s="32">
        <f>[1]!h_pt(L81,L82)</f>
        <v>3324.0491999267369</v>
      </c>
      <c r="M83" s="69"/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E83" s="69"/>
      <c r="AF83" s="69"/>
      <c r="AG83" s="69"/>
    </row>
    <row r="84" spans="4:33" x14ac:dyDescent="0.25">
      <c r="D84" s="91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E84" s="69"/>
      <c r="AF84" s="69"/>
      <c r="AG84" s="69"/>
    </row>
    <row r="85" spans="4:33" x14ac:dyDescent="0.25"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101">
        <f>P100/P97/(O88-O105)*1000</f>
        <v>0</v>
      </c>
      <c r="P85" s="30"/>
      <c r="Q85" s="30"/>
      <c r="R85" s="42">
        <v>10.357188919078531</v>
      </c>
      <c r="S85" s="69"/>
      <c r="T85" s="101">
        <v>0</v>
      </c>
      <c r="U85" s="24"/>
      <c r="V85" s="24"/>
      <c r="W85" s="24"/>
      <c r="Z85" s="36">
        <f>L80-O85-R85-T85-AF87</f>
        <v>128.17852902194713</v>
      </c>
      <c r="AB85" s="69"/>
      <c r="AE85" s="69"/>
      <c r="AF85" s="69"/>
      <c r="AG85" s="69"/>
    </row>
    <row r="86" spans="4:33" x14ac:dyDescent="0.25">
      <c r="D86" s="16"/>
      <c r="E86" s="69"/>
      <c r="F86" s="69"/>
      <c r="G86" s="69"/>
      <c r="H86" s="69"/>
      <c r="I86" s="69"/>
      <c r="J86" s="69"/>
      <c r="K86" s="69"/>
      <c r="L86" s="28"/>
      <c r="M86" s="69"/>
      <c r="N86" s="69"/>
      <c r="O86" s="102">
        <f>J87-3</f>
        <v>42</v>
      </c>
      <c r="P86" s="30"/>
      <c r="Q86" s="30"/>
      <c r="R86" s="29">
        <f>J87-3</f>
        <v>42</v>
      </c>
      <c r="S86" s="69"/>
      <c r="T86" s="102">
        <f>J87-3</f>
        <v>42</v>
      </c>
      <c r="U86" s="24"/>
      <c r="V86" s="24"/>
      <c r="W86" s="24"/>
      <c r="Z86" s="29">
        <f>J87-3</f>
        <v>42</v>
      </c>
      <c r="AB86" s="69"/>
      <c r="AE86" s="69"/>
      <c r="AF86" s="46" t="s">
        <v>54</v>
      </c>
      <c r="AG86" s="69"/>
    </row>
    <row r="87" spans="4:33" x14ac:dyDescent="0.25">
      <c r="D87" s="16"/>
      <c r="E87" s="69"/>
      <c r="F87" s="69"/>
      <c r="G87" s="69"/>
      <c r="H87" s="69"/>
      <c r="I87" s="49" t="s">
        <v>42</v>
      </c>
      <c r="J87" s="92">
        <f>J8</f>
        <v>45</v>
      </c>
      <c r="K87" s="69"/>
      <c r="L87" s="69"/>
      <c r="M87" s="69"/>
      <c r="N87" s="69"/>
      <c r="O87" s="103">
        <f>L82-5</f>
        <v>445</v>
      </c>
      <c r="P87" s="30"/>
      <c r="Q87" s="30"/>
      <c r="R87" s="31">
        <f>J88-5</f>
        <v>445</v>
      </c>
      <c r="S87" s="69"/>
      <c r="T87" s="103">
        <f>J88-5</f>
        <v>445</v>
      </c>
      <c r="U87" s="24"/>
      <c r="V87" s="24"/>
      <c r="W87" s="24"/>
      <c r="Z87" s="31">
        <f>J88-5</f>
        <v>445</v>
      </c>
      <c r="AB87" s="69"/>
      <c r="AE87" s="69"/>
      <c r="AF87" s="86">
        <v>0</v>
      </c>
      <c r="AG87" s="69"/>
    </row>
    <row r="88" spans="4:33" x14ac:dyDescent="0.25">
      <c r="D88" s="69"/>
      <c r="E88" s="39"/>
      <c r="F88" s="69"/>
      <c r="G88" s="69"/>
      <c r="H88" s="69"/>
      <c r="I88" s="4" t="s">
        <v>43</v>
      </c>
      <c r="J88" s="93">
        <f>J9</f>
        <v>450</v>
      </c>
      <c r="K88" s="69"/>
      <c r="L88" s="69"/>
      <c r="M88" s="69"/>
      <c r="N88" s="69"/>
      <c r="O88" s="104">
        <f>[1]!h_pt(O86,O87)</f>
        <v>3316.6094534062295</v>
      </c>
      <c r="P88" s="30"/>
      <c r="Q88" s="30"/>
      <c r="R88" s="32">
        <f>[1]!h_pt(R86,R87)</f>
        <v>3316.6094534062295</v>
      </c>
      <c r="S88" s="69"/>
      <c r="T88" s="104">
        <f>[1]!h_pt(R86,R87)</f>
        <v>3316.6094534062295</v>
      </c>
      <c r="U88" s="14"/>
      <c r="V88" s="14"/>
      <c r="W88" s="14"/>
      <c r="Z88" s="32">
        <f>[1]!h_pt(R86,R87)</f>
        <v>3316.6094534062295</v>
      </c>
      <c r="AB88" s="69"/>
      <c r="AE88" s="69"/>
      <c r="AF88" s="69"/>
      <c r="AG88" s="69"/>
    </row>
    <row r="89" spans="4:33" x14ac:dyDescent="0.25">
      <c r="D89" s="69"/>
      <c r="E89" s="79"/>
      <c r="F89" s="69"/>
      <c r="G89" s="69"/>
      <c r="H89" s="69"/>
      <c r="I89" s="4" t="s">
        <v>44</v>
      </c>
      <c r="J89" s="94">
        <f>J10</f>
        <v>0.05</v>
      </c>
      <c r="K89" s="69"/>
      <c r="L89" s="69"/>
      <c r="M89" s="69"/>
      <c r="N89" s="69"/>
      <c r="O89" s="105">
        <f>[1]!s_pT(O86,O87)</f>
        <v>6.8968037688027497</v>
      </c>
      <c r="P89" s="69"/>
      <c r="Q89" s="69"/>
      <c r="R89" s="34">
        <f>[1]!s_pT(O86,O87)</f>
        <v>6.8968037688027497</v>
      </c>
      <c r="S89" s="69"/>
      <c r="T89" s="105">
        <f>[1]!s_pT(O86,O87)</f>
        <v>6.8968037688027497</v>
      </c>
      <c r="U89" s="14"/>
      <c r="V89" s="14"/>
      <c r="W89" s="14"/>
      <c r="Z89" s="34">
        <f>[1]!s_pT(O86,O87)</f>
        <v>6.8968037688027497</v>
      </c>
      <c r="AB89" s="69"/>
      <c r="AE89" s="69"/>
      <c r="AF89" s="69"/>
      <c r="AG89" s="69"/>
    </row>
    <row r="90" spans="4:33" x14ac:dyDescent="0.25">
      <c r="D90" s="69"/>
      <c r="E90" s="69"/>
      <c r="F90" s="69"/>
      <c r="G90" s="69"/>
      <c r="H90" s="69"/>
      <c r="I90" s="4" t="s">
        <v>45</v>
      </c>
      <c r="J90" s="94">
        <v>0.8</v>
      </c>
      <c r="K90" s="69"/>
      <c r="L90" s="69"/>
      <c r="M90" s="69"/>
      <c r="N90" s="69"/>
      <c r="O90" s="100"/>
      <c r="P90" s="69"/>
      <c r="Q90" s="69"/>
      <c r="R90" s="69"/>
      <c r="S90" s="69"/>
      <c r="T90" s="14"/>
      <c r="U90" s="14"/>
      <c r="V90" s="14"/>
      <c r="W90" s="14"/>
      <c r="Z90" s="14"/>
      <c r="AA90" s="14"/>
      <c r="AB90" s="69"/>
      <c r="AE90" s="69"/>
      <c r="AF90" s="69"/>
      <c r="AG90" s="69"/>
    </row>
    <row r="91" spans="4:33" x14ac:dyDescent="0.25">
      <c r="D91" s="69"/>
      <c r="E91" s="69"/>
      <c r="F91" s="69"/>
      <c r="G91" s="69"/>
      <c r="H91" s="69"/>
      <c r="I91" s="6" t="s">
        <v>0</v>
      </c>
      <c r="J91" s="95">
        <f>J12</f>
        <v>1.9469232633710738</v>
      </c>
      <c r="K91" s="69"/>
      <c r="L91" s="69"/>
      <c r="M91" s="69"/>
      <c r="N91" s="69"/>
      <c r="O91" s="69"/>
      <c r="P91" s="69"/>
      <c r="Q91" s="69"/>
      <c r="R91" s="69"/>
      <c r="S91" s="69"/>
      <c r="T91" s="14"/>
      <c r="U91" s="14"/>
      <c r="V91" s="14"/>
      <c r="W91" s="14"/>
      <c r="Z91" s="14"/>
      <c r="AA91" s="14"/>
      <c r="AB91" s="69"/>
      <c r="AE91" s="69"/>
      <c r="AF91" s="69"/>
      <c r="AG91" s="69"/>
    </row>
    <row r="92" spans="4:33" x14ac:dyDescent="0.25"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14"/>
      <c r="W92" s="14"/>
      <c r="Z92" s="14"/>
      <c r="AC92" s="96"/>
      <c r="AD92" s="96"/>
      <c r="AE92" s="69"/>
      <c r="AF92" s="69"/>
      <c r="AG92" s="69"/>
    </row>
    <row r="93" spans="4:33" x14ac:dyDescent="0.25"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Q93" s="69"/>
      <c r="R93" s="69"/>
      <c r="S93" s="69"/>
      <c r="T93" s="69"/>
      <c r="W93" s="69"/>
      <c r="Z93" s="69"/>
      <c r="AC93" s="96"/>
      <c r="AD93" s="96"/>
      <c r="AE93" s="69"/>
      <c r="AF93" s="69"/>
      <c r="AG93" s="69"/>
    </row>
    <row r="94" spans="4:33" x14ac:dyDescent="0.25">
      <c r="D94" s="69"/>
      <c r="E94" s="69"/>
      <c r="F94" s="69"/>
      <c r="G94" s="69"/>
      <c r="H94" s="36">
        <f>L80/(1-J89)</f>
        <v>145.82707151686913</v>
      </c>
      <c r="I94" s="69"/>
      <c r="J94" s="69"/>
      <c r="K94" s="69"/>
      <c r="L94" s="36">
        <f>J89*H94</f>
        <v>7.2913535758434564</v>
      </c>
      <c r="M94" s="69"/>
      <c r="N94" s="69"/>
      <c r="O94" s="69"/>
      <c r="Q94" s="69"/>
      <c r="R94" s="69"/>
      <c r="S94" s="69"/>
      <c r="T94" s="69"/>
      <c r="W94" s="69"/>
      <c r="Z94" s="69"/>
      <c r="AC94" s="96"/>
      <c r="AD94" s="96"/>
      <c r="AE94" s="69"/>
      <c r="AF94" s="22">
        <f>B37</f>
        <v>4.5</v>
      </c>
      <c r="AG94" s="69" t="s">
        <v>16</v>
      </c>
    </row>
    <row r="95" spans="4:33" x14ac:dyDescent="0.25">
      <c r="D95" s="69"/>
      <c r="E95" s="69"/>
      <c r="F95" s="69"/>
      <c r="G95" s="69"/>
      <c r="H95" s="21">
        <f>1.2*J87</f>
        <v>54</v>
      </c>
      <c r="I95" s="69"/>
      <c r="J95" s="69"/>
      <c r="K95" s="69"/>
      <c r="L95" s="25">
        <f>J87</f>
        <v>45</v>
      </c>
      <c r="M95" s="69"/>
      <c r="N95" s="69"/>
      <c r="O95" s="106"/>
      <c r="P95" s="127" t="s">
        <v>64</v>
      </c>
      <c r="Q95" s="69"/>
      <c r="R95" s="69"/>
      <c r="S95" s="69"/>
      <c r="T95" s="69"/>
      <c r="W95" s="69"/>
      <c r="Z95" s="69"/>
      <c r="AC95" s="96"/>
      <c r="AD95" s="96"/>
      <c r="AE95" s="69"/>
      <c r="AF95" s="14"/>
      <c r="AG95" s="69"/>
    </row>
    <row r="96" spans="4:33" x14ac:dyDescent="0.25">
      <c r="D96" s="69"/>
      <c r="E96" s="69"/>
      <c r="F96" s="69"/>
      <c r="G96" s="69"/>
      <c r="H96" s="126">
        <f>H17</f>
        <v>104.76852342482843</v>
      </c>
      <c r="I96" s="69"/>
      <c r="J96" s="69"/>
      <c r="K96" s="69"/>
      <c r="L96" s="31">
        <f>[1]!Tsat_p(L95)</f>
        <v>257.43937131084681</v>
      </c>
      <c r="M96" s="69"/>
      <c r="N96" s="69"/>
      <c r="O96" s="106"/>
      <c r="P96" s="114" t="s">
        <v>49</v>
      </c>
      <c r="Q96" s="69"/>
      <c r="R96" s="69"/>
      <c r="S96" s="69"/>
      <c r="T96" s="69"/>
      <c r="U96" s="69"/>
      <c r="V96" s="69"/>
      <c r="W96" s="170" t="s">
        <v>51</v>
      </c>
      <c r="X96" s="171">
        <f>X17</f>
        <v>0.81</v>
      </c>
      <c r="Z96" s="69"/>
      <c r="AA96" s="69"/>
      <c r="AB96" s="69"/>
      <c r="AC96" s="164" t="s">
        <v>51</v>
      </c>
      <c r="AD96" s="167">
        <f>AD17</f>
        <v>0.81</v>
      </c>
      <c r="AE96" s="69"/>
      <c r="AF96" s="22">
        <f>B38</f>
        <v>21</v>
      </c>
      <c r="AG96" s="69" t="s">
        <v>17</v>
      </c>
    </row>
    <row r="97" spans="4:33" x14ac:dyDescent="0.25">
      <c r="D97" s="69"/>
      <c r="E97" s="69"/>
      <c r="F97" s="69"/>
      <c r="G97" s="69"/>
      <c r="H97" s="32">
        <f>[1]!h_pt(H95,H96)</f>
        <v>443.14699569149485</v>
      </c>
      <c r="I97" s="69"/>
      <c r="J97" s="69"/>
      <c r="K97" s="69"/>
      <c r="L97" s="32">
        <f>[1]!hL_T(L96)</f>
        <v>1122.1429927816589</v>
      </c>
      <c r="M97" s="69"/>
      <c r="N97" s="69"/>
      <c r="O97" s="69"/>
      <c r="P97" s="182">
        <f>P18</f>
        <v>0.72</v>
      </c>
      <c r="Q97" s="69"/>
      <c r="R97" s="69"/>
      <c r="S97" s="69"/>
      <c r="T97" s="69"/>
      <c r="U97" s="69"/>
      <c r="V97" s="69"/>
      <c r="W97" s="170" t="s">
        <v>52</v>
      </c>
      <c r="X97" s="171">
        <f>X18</f>
        <v>0.81</v>
      </c>
      <c r="Z97" s="69"/>
      <c r="AA97" s="69"/>
      <c r="AB97" s="69"/>
      <c r="AC97" s="165" t="s">
        <v>52</v>
      </c>
      <c r="AD97" s="168">
        <f>AD18</f>
        <v>0.81</v>
      </c>
      <c r="AE97" s="69"/>
      <c r="AF97" s="14"/>
      <c r="AG97" s="69"/>
    </row>
    <row r="98" spans="4:33" x14ac:dyDescent="0.25">
      <c r="D98" s="69"/>
      <c r="E98" s="69"/>
      <c r="F98" s="69"/>
      <c r="G98" s="69"/>
      <c r="H98" s="69"/>
      <c r="I98" s="69"/>
      <c r="J98" s="69"/>
      <c r="K98" s="12"/>
      <c r="L98" s="27"/>
      <c r="M98" s="69"/>
      <c r="N98" s="69"/>
      <c r="O98" s="69"/>
      <c r="P98" s="183">
        <f>P19</f>
        <v>0.95</v>
      </c>
      <c r="Q98" s="69"/>
      <c r="R98" s="69"/>
      <c r="S98" s="69"/>
      <c r="T98" s="69"/>
      <c r="U98" s="69"/>
      <c r="V98" s="69"/>
      <c r="W98" s="170" t="s">
        <v>50</v>
      </c>
      <c r="X98" s="171">
        <f>X19</f>
        <v>0.98</v>
      </c>
      <c r="Z98" s="69"/>
      <c r="AA98" s="69"/>
      <c r="AB98" s="69"/>
      <c r="AC98" s="165" t="s">
        <v>50</v>
      </c>
      <c r="AD98" s="168">
        <f>AD19</f>
        <v>0.98</v>
      </c>
      <c r="AE98" s="69"/>
      <c r="AF98" s="14"/>
      <c r="AG98" s="69"/>
    </row>
    <row r="99" spans="4:33" x14ac:dyDescent="0.25"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Q99" s="69"/>
      <c r="R99" s="69"/>
      <c r="S99" s="69"/>
      <c r="T99" s="69"/>
      <c r="U99" s="69"/>
      <c r="V99" s="69"/>
      <c r="W99" s="170" t="s">
        <v>53</v>
      </c>
      <c r="X99" s="171">
        <f>X20</f>
        <v>0.95</v>
      </c>
      <c r="Z99" s="69"/>
      <c r="AA99" s="69"/>
      <c r="AB99" s="69"/>
      <c r="AC99" s="166" t="s">
        <v>53</v>
      </c>
      <c r="AD99" s="169">
        <f>AD20</f>
        <v>0.95</v>
      </c>
      <c r="AE99" s="69"/>
      <c r="AF99" s="22">
        <f>B39</f>
        <v>4</v>
      </c>
      <c r="AG99" s="69" t="s">
        <v>39</v>
      </c>
    </row>
    <row r="100" spans="4:33" x14ac:dyDescent="0.25">
      <c r="D100" s="69"/>
      <c r="E100" s="69"/>
      <c r="F100" s="69"/>
      <c r="G100" s="69"/>
      <c r="H100" s="69"/>
      <c r="I100" s="69"/>
      <c r="J100" s="69"/>
      <c r="K100" s="69"/>
      <c r="L100" s="69"/>
      <c r="M100" s="11"/>
      <c r="N100" s="69"/>
      <c r="O100" s="69"/>
      <c r="P100" s="115">
        <v>0</v>
      </c>
      <c r="Q100" s="69"/>
      <c r="R100" s="35">
        <f>R85</f>
        <v>10.357188919078531</v>
      </c>
      <c r="S100" s="69"/>
      <c r="T100" s="107">
        <v>0</v>
      </c>
      <c r="U100" s="69"/>
      <c r="V100" s="112">
        <f>(T85*(T88-T103)+V102*(T103-V105))/3600*X98*X99</f>
        <v>0</v>
      </c>
      <c r="W100" s="69"/>
      <c r="Z100" s="38">
        <v>6.3988256399187039E-4</v>
      </c>
      <c r="AA100" s="69"/>
      <c r="AB100" s="55">
        <f>(Z85*(Z88-Z103)+AB102*(Z103-AB105))/3600*AD98*AD99</f>
        <v>32.038413199649803</v>
      </c>
      <c r="AD100" s="55"/>
      <c r="AE100" s="69"/>
      <c r="AF100" s="14"/>
      <c r="AG100" s="69"/>
    </row>
    <row r="101" spans="4:33" x14ac:dyDescent="0.25"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21">
        <v>5</v>
      </c>
      <c r="S101" s="69"/>
      <c r="T101" s="108">
        <f>T22</f>
        <v>14</v>
      </c>
      <c r="U101" s="69"/>
      <c r="V101" s="113"/>
      <c r="W101" s="69"/>
      <c r="Z101" s="17">
        <v>14</v>
      </c>
      <c r="AA101" s="69"/>
      <c r="AB101" s="69"/>
      <c r="AE101" s="69"/>
      <c r="AF101" s="22">
        <f>V100+AB100-AF94-AF96-AF99</f>
        <v>2.5384131996498027</v>
      </c>
      <c r="AG101" s="69" t="s">
        <v>57</v>
      </c>
    </row>
    <row r="102" spans="4:33" x14ac:dyDescent="0.25"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116">
        <f>O85</f>
        <v>0</v>
      </c>
      <c r="P102" s="69"/>
      <c r="Q102" s="69"/>
      <c r="R102" s="31">
        <f>[1]!T_ph(R101,R103)</f>
        <v>421.09732734941758</v>
      </c>
      <c r="S102" s="69"/>
      <c r="T102" s="109">
        <f>[1]!T_ph(T101,T103)</f>
        <v>311.61008827354067</v>
      </c>
      <c r="U102" s="69"/>
      <c r="V102" s="101">
        <f>T85-T100</f>
        <v>0</v>
      </c>
      <c r="W102" s="69"/>
      <c r="Z102" s="40">
        <f>[1]!T_ph(Z101,Z103)</f>
        <v>311.61008827354067</v>
      </c>
      <c r="AA102" s="69"/>
      <c r="AB102" s="36">
        <f>Z85-Z100</f>
        <v>128.17788913938313</v>
      </c>
      <c r="AC102" s="36"/>
      <c r="AD102" s="36"/>
      <c r="AE102" s="69"/>
      <c r="AF102" s="69"/>
      <c r="AG102" s="69"/>
    </row>
    <row r="103" spans="4:33" x14ac:dyDescent="0.25">
      <c r="D103" s="69"/>
      <c r="E103" s="69"/>
      <c r="F103" s="69"/>
      <c r="G103" s="69"/>
      <c r="H103" s="69"/>
      <c r="I103" s="69"/>
      <c r="J103" s="69"/>
      <c r="K103" s="69"/>
      <c r="L103" s="97">
        <f>L24</f>
        <v>3</v>
      </c>
      <c r="M103" s="69"/>
      <c r="N103" s="69"/>
      <c r="O103" s="117">
        <v>3</v>
      </c>
      <c r="P103" s="69"/>
      <c r="Q103" s="69"/>
      <c r="R103" s="45">
        <f>R88</f>
        <v>3316.6094534062295</v>
      </c>
      <c r="S103" s="69"/>
      <c r="T103" s="110">
        <f>T88-X96*(T88-[1]!h_ps(T101,T89))</f>
        <v>3066.5432845854625</v>
      </c>
      <c r="U103" s="69"/>
      <c r="V103" s="102">
        <v>3</v>
      </c>
      <c r="W103" s="69"/>
      <c r="Z103" s="41">
        <f>Z88-AD96*(Z88-[1]!h_ps(Z101,Z89))</f>
        <v>3066.5432845854625</v>
      </c>
      <c r="AA103" s="69"/>
      <c r="AB103" s="25">
        <f>AC129</f>
        <v>7.4999999999999997E-2</v>
      </c>
      <c r="AC103" s="25"/>
      <c r="AD103" s="25"/>
      <c r="AE103" s="69"/>
      <c r="AF103" s="69"/>
      <c r="AG103" s="69"/>
    </row>
    <row r="104" spans="4:33" x14ac:dyDescent="0.25">
      <c r="D104" s="69"/>
      <c r="E104" s="69"/>
      <c r="F104" s="69"/>
      <c r="G104" s="69"/>
      <c r="H104" s="69"/>
      <c r="I104" s="69"/>
      <c r="J104" s="69"/>
      <c r="K104" s="69"/>
      <c r="L104" s="60">
        <f>[1]!x_ph(L103,L97)</f>
        <v>0.25916528896653551</v>
      </c>
      <c r="M104" s="69"/>
      <c r="N104" s="69"/>
      <c r="O104" s="118">
        <f>[1]!T_ph(O103,O105)</f>
        <v>198.48030767122617</v>
      </c>
      <c r="P104" s="69"/>
      <c r="Q104" s="69"/>
      <c r="R104" s="69"/>
      <c r="S104" s="69"/>
      <c r="T104" s="111">
        <f>[1]!s_pT(T101,T102)</f>
        <v>6.9994575604430835</v>
      </c>
      <c r="U104" s="69"/>
      <c r="V104" s="103">
        <f>[1]!T_ph(V103,V105)</f>
        <v>164.63394127032711</v>
      </c>
      <c r="W104" s="69"/>
      <c r="Z104" s="33">
        <f>[1]!s_pT(Z101,Z102)</f>
        <v>6.9994575604430835</v>
      </c>
      <c r="AA104" s="69"/>
      <c r="AB104" s="31">
        <f>[1]!T_ph(AB103,AB105)</f>
        <v>40.29159033149449</v>
      </c>
      <c r="AC104" s="31"/>
      <c r="AD104" s="31"/>
      <c r="AE104" s="69"/>
      <c r="AF104" s="69"/>
      <c r="AG104" s="69"/>
    </row>
    <row r="105" spans="4:33" x14ac:dyDescent="0.25"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119">
        <f>O88-P97*(O88-[1]!h_ps(O103,O89))</f>
        <v>2862.8256398255503</v>
      </c>
      <c r="P105" s="69"/>
      <c r="Q105" s="69"/>
      <c r="R105" s="69"/>
      <c r="S105" s="69"/>
      <c r="T105" s="69"/>
      <c r="U105" s="69"/>
      <c r="V105" s="104">
        <f>T103-X97*(T103-[1]!h_ps(V103,T104))</f>
        <v>2792.4177419405009</v>
      </c>
      <c r="W105" s="69"/>
      <c r="Z105" s="69"/>
      <c r="AA105" s="69"/>
      <c r="AB105" s="32">
        <f>Z103-AD97*(Z103-[1]!h_ps(AB103,Z104))</f>
        <v>2350.0910189247502</v>
      </c>
      <c r="AC105" s="32"/>
      <c r="AD105" s="32"/>
      <c r="AE105" s="69"/>
      <c r="AF105" s="69"/>
      <c r="AG105" s="69"/>
    </row>
    <row r="106" spans="4:33" x14ac:dyDescent="0.25">
      <c r="D106" s="69"/>
      <c r="E106" s="69"/>
      <c r="F106" s="69"/>
      <c r="G106" s="69"/>
      <c r="H106" s="69"/>
      <c r="I106" s="69"/>
      <c r="J106" s="69"/>
      <c r="K106" s="14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E106" s="69"/>
      <c r="AF106" s="1" t="s">
        <v>55</v>
      </c>
      <c r="AG106" s="69"/>
    </row>
    <row r="107" spans="4:33" x14ac:dyDescent="0.25">
      <c r="D107" s="69"/>
      <c r="E107" s="69"/>
      <c r="F107" s="69"/>
      <c r="G107" s="69"/>
      <c r="H107" s="69"/>
      <c r="I107" s="69"/>
      <c r="J107" s="69"/>
      <c r="K107" s="62">
        <f>L94-M107</f>
        <v>5.4016878194028051</v>
      </c>
      <c r="L107" s="69"/>
      <c r="M107" s="36">
        <f>L104*L94</f>
        <v>1.8896657564406514</v>
      </c>
      <c r="N107" s="69"/>
      <c r="O107" s="69"/>
      <c r="P107" s="69"/>
      <c r="Q107" s="69"/>
      <c r="R107" s="69"/>
      <c r="S107" s="71">
        <f>T100+Z100</f>
        <v>6.3988256399187039E-4</v>
      </c>
      <c r="T107" s="69"/>
      <c r="U107" s="69"/>
      <c r="V107" s="69"/>
      <c r="W107" s="69"/>
      <c r="X107" s="69"/>
      <c r="Y107" s="69"/>
      <c r="Z107" s="69"/>
      <c r="AE107" s="69"/>
      <c r="AF107" s="35">
        <f>S107-AF112-I121</f>
        <v>6.3988256399187039E-4</v>
      </c>
      <c r="AG107" s="69"/>
    </row>
    <row r="108" spans="4:33" x14ac:dyDescent="0.25">
      <c r="D108" s="69"/>
      <c r="E108" s="69"/>
      <c r="F108" s="69"/>
      <c r="G108" s="69"/>
      <c r="H108" s="69"/>
      <c r="I108" s="69"/>
      <c r="J108" s="69"/>
      <c r="K108" s="57">
        <f>L103</f>
        <v>3</v>
      </c>
      <c r="L108" s="69"/>
      <c r="M108" s="59">
        <f>L103</f>
        <v>3</v>
      </c>
      <c r="N108" s="69"/>
      <c r="O108" s="69"/>
      <c r="P108" s="69"/>
      <c r="Q108" s="69"/>
      <c r="R108" s="69"/>
      <c r="S108" s="72">
        <f>IF(T101&gt;Z101,T101,Z101)</f>
        <v>14</v>
      </c>
      <c r="T108" s="69"/>
      <c r="U108" s="69"/>
      <c r="V108" s="69"/>
      <c r="W108" s="69"/>
      <c r="X108" s="69"/>
      <c r="Y108" s="69"/>
      <c r="Z108" s="69"/>
      <c r="AE108" s="69"/>
      <c r="AF108" s="69"/>
      <c r="AG108" s="69"/>
    </row>
    <row r="109" spans="4:33" x14ac:dyDescent="0.25">
      <c r="D109" s="69"/>
      <c r="E109" s="69"/>
      <c r="F109" s="69"/>
      <c r="G109" s="69"/>
      <c r="H109" s="69"/>
      <c r="I109" s="69"/>
      <c r="J109" s="69"/>
      <c r="K109" s="63">
        <f>[1]!T_ph(K108,K110)</f>
        <v>133.54199141940632</v>
      </c>
      <c r="L109" s="69"/>
      <c r="M109" s="31">
        <f>[1]!T_ph(M108,M110)</f>
        <v>133.51815045080383</v>
      </c>
      <c r="N109" s="69"/>
      <c r="O109" s="69"/>
      <c r="P109" s="69"/>
      <c r="Q109" s="69"/>
      <c r="R109" s="69"/>
      <c r="S109" s="73">
        <f>[1]!T_ph(S108,S110)</f>
        <v>311.61008827354067</v>
      </c>
      <c r="T109" s="69"/>
      <c r="U109" s="69"/>
      <c r="V109" s="69"/>
      <c r="W109" s="69"/>
      <c r="X109" s="69"/>
      <c r="Y109" s="69"/>
      <c r="Z109" s="69"/>
      <c r="AE109" s="69"/>
      <c r="AF109" s="69"/>
      <c r="AG109" s="69"/>
    </row>
    <row r="110" spans="4:33" x14ac:dyDescent="0.25">
      <c r="D110" s="69"/>
      <c r="E110" s="69"/>
      <c r="F110" s="69"/>
      <c r="G110" s="69"/>
      <c r="H110" s="69"/>
      <c r="I110" s="69"/>
      <c r="J110" s="69"/>
      <c r="K110" s="41">
        <f>[1]!hL_p(K108)</f>
        <v>561.45541025710759</v>
      </c>
      <c r="L110" s="69"/>
      <c r="M110" s="32">
        <f>[1]!hV_p(M108)</f>
        <v>2724.8916665566508</v>
      </c>
      <c r="N110" s="69"/>
      <c r="O110" s="69"/>
      <c r="P110" s="69"/>
      <c r="Q110" s="69"/>
      <c r="R110" s="69"/>
      <c r="S110" s="74">
        <f>(T100*T103+Z100*Z103)/(T100+Z100)</f>
        <v>3066.5432845854625</v>
      </c>
      <c r="T110" s="69"/>
      <c r="U110" s="69"/>
      <c r="V110" s="69"/>
      <c r="W110" s="69"/>
      <c r="X110" s="69"/>
      <c r="Y110" s="69"/>
      <c r="Z110" s="69"/>
      <c r="AE110" s="69"/>
      <c r="AF110" s="69"/>
      <c r="AG110" s="69"/>
    </row>
    <row r="111" spans="4:33" x14ac:dyDescent="0.25"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14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E111" s="69"/>
      <c r="AF111" s="46" t="s">
        <v>63</v>
      </c>
      <c r="AG111" s="69"/>
    </row>
    <row r="112" spans="4:33" x14ac:dyDescent="0.25">
      <c r="D112" s="69"/>
      <c r="E112" s="69"/>
      <c r="F112" s="69"/>
      <c r="G112" s="69"/>
      <c r="H112" s="69"/>
      <c r="I112" s="69"/>
      <c r="J112" s="69"/>
      <c r="K112" s="70"/>
      <c r="L112" s="70"/>
      <c r="M112" s="69"/>
      <c r="N112" s="14"/>
      <c r="O112" s="69"/>
      <c r="P112" s="69"/>
      <c r="Q112" s="69"/>
      <c r="R112" s="36">
        <f>R100+P131</f>
        <v>12.296429135003265</v>
      </c>
      <c r="S112" s="69"/>
      <c r="T112" s="69"/>
      <c r="U112" s="69"/>
      <c r="V112" s="69"/>
      <c r="W112" s="69"/>
      <c r="X112" s="69"/>
      <c r="Y112" s="69"/>
      <c r="Z112" s="69"/>
      <c r="AE112" s="69"/>
      <c r="AF112" s="86">
        <f>B121</f>
        <v>0</v>
      </c>
      <c r="AG112" s="69"/>
    </row>
    <row r="113" spans="4:33" x14ac:dyDescent="0.25"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25">
        <f>O103</f>
        <v>3</v>
      </c>
      <c r="S113" s="69"/>
      <c r="T113" s="69"/>
      <c r="U113" s="69"/>
      <c r="V113" s="69"/>
      <c r="W113" s="69"/>
      <c r="X113" s="69"/>
      <c r="Y113" s="69"/>
      <c r="Z113" s="69"/>
      <c r="AE113" s="69"/>
      <c r="AF113" s="69"/>
      <c r="AG113" s="69"/>
    </row>
    <row r="114" spans="4:33" x14ac:dyDescent="0.25"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26">
        <f>O104</f>
        <v>198.48030767122617</v>
      </c>
      <c r="S114" s="69"/>
      <c r="T114" s="69"/>
      <c r="U114" s="69"/>
      <c r="V114" s="69"/>
      <c r="W114" s="69"/>
      <c r="X114" s="69"/>
      <c r="Y114" s="69"/>
      <c r="Z114" s="69"/>
      <c r="AE114" s="69"/>
      <c r="AF114" s="69"/>
      <c r="AG114" s="69"/>
    </row>
    <row r="115" spans="4:33" x14ac:dyDescent="0.25">
      <c r="D115" s="69"/>
      <c r="E115" s="27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45">
        <f>O105</f>
        <v>2862.8256398255503</v>
      </c>
      <c r="S115" s="69"/>
      <c r="T115" s="69"/>
      <c r="U115" s="5"/>
      <c r="V115" s="69"/>
      <c r="W115" s="69"/>
      <c r="X115" s="69"/>
      <c r="Y115" s="69"/>
      <c r="Z115" s="69"/>
      <c r="AE115" s="69"/>
      <c r="AF115" s="1" t="s">
        <v>55</v>
      </c>
      <c r="AG115" s="69"/>
    </row>
    <row r="116" spans="4:33" x14ac:dyDescent="0.25"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71">
        <f>O102+R112+V102</f>
        <v>12.296429135003265</v>
      </c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E116" s="69"/>
      <c r="AF116" s="36">
        <f>N116-Y120-T120-AF120</f>
        <v>-1.5993879346432038E-4</v>
      </c>
      <c r="AG116" s="69"/>
    </row>
    <row r="117" spans="4:33" x14ac:dyDescent="0.25">
      <c r="D117" s="69"/>
      <c r="E117" s="69"/>
      <c r="F117" s="69"/>
      <c r="G117" s="69"/>
      <c r="H117" s="69"/>
      <c r="I117" s="69"/>
      <c r="J117" s="69"/>
      <c r="K117" s="69"/>
      <c r="L117" s="43"/>
      <c r="M117" s="69"/>
      <c r="N117" s="75">
        <f>V103</f>
        <v>3</v>
      </c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69"/>
      <c r="Z117" s="69"/>
      <c r="AE117" s="1"/>
      <c r="AF117" s="69"/>
      <c r="AG117" s="69"/>
    </row>
    <row r="118" spans="4:33" x14ac:dyDescent="0.25"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73">
        <f>[1]!T_ph(N117,N119)</f>
        <v>198.48030767122617</v>
      </c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E118" s="69"/>
      <c r="AF118" s="69"/>
      <c r="AG118" s="69"/>
    </row>
    <row r="119" spans="4:33" x14ac:dyDescent="0.25"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74">
        <f>(O102*O105+R112*R115+V102*V105)/(N116)</f>
        <v>2862.8256398255503</v>
      </c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E119" s="69"/>
      <c r="AF119" s="46" t="s">
        <v>59</v>
      </c>
      <c r="AG119" s="69"/>
    </row>
    <row r="120" spans="4:33" x14ac:dyDescent="0.25"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36">
        <f>(V129*(V132-V146)+P131*(P134-V146)+P143*(P146-V146)+AB132*(V146-AB135)+AF137*(V146-AF140)+I129*(V146-I132)+M107*(V146-M110))/(T123-V146)</f>
        <v>12.29658907379673</v>
      </c>
      <c r="U120" s="69"/>
      <c r="V120" s="69"/>
      <c r="W120" s="69"/>
      <c r="Y120" s="101">
        <f>AF124-V129</f>
        <v>0</v>
      </c>
      <c r="Z120" s="69"/>
      <c r="AE120" s="69"/>
      <c r="AF120" s="86">
        <v>0</v>
      </c>
      <c r="AG120" s="69"/>
    </row>
    <row r="121" spans="4:33" x14ac:dyDescent="0.25">
      <c r="D121" s="69"/>
      <c r="E121" s="69"/>
      <c r="F121" s="69"/>
      <c r="G121" s="69"/>
      <c r="H121" s="69"/>
      <c r="I121" s="184">
        <f>(H94*(H97-H139)/(I124-I132))</f>
        <v>0</v>
      </c>
      <c r="J121" s="76"/>
      <c r="K121" s="69"/>
      <c r="L121" s="69"/>
      <c r="M121" s="69"/>
      <c r="N121" s="69"/>
      <c r="O121" s="69"/>
      <c r="P121" s="69"/>
      <c r="Q121" s="69"/>
      <c r="R121" s="69"/>
      <c r="S121" s="69"/>
      <c r="T121" s="25">
        <f>N117</f>
        <v>3</v>
      </c>
      <c r="U121" s="69"/>
      <c r="V121" s="69"/>
      <c r="W121" s="69"/>
      <c r="Y121" s="102">
        <f>N117</f>
        <v>3</v>
      </c>
      <c r="Z121" s="69"/>
      <c r="AE121" s="69"/>
      <c r="AF121" s="69"/>
      <c r="AG121" s="69"/>
    </row>
    <row r="122" spans="4:33" x14ac:dyDescent="0.25">
      <c r="D122" s="69"/>
      <c r="E122" s="69"/>
      <c r="F122" s="69"/>
      <c r="G122" s="69"/>
      <c r="H122" s="69"/>
      <c r="I122" s="185">
        <f>S108</f>
        <v>14</v>
      </c>
      <c r="J122" s="69"/>
      <c r="K122" s="69"/>
      <c r="L122" s="69"/>
      <c r="M122" s="69"/>
      <c r="N122" s="69"/>
      <c r="O122" s="69"/>
      <c r="P122" s="69"/>
      <c r="Q122" s="69"/>
      <c r="R122" s="2"/>
      <c r="S122" s="69"/>
      <c r="T122" s="26">
        <f>N118</f>
        <v>198.48030767122617</v>
      </c>
      <c r="U122" s="69"/>
      <c r="V122" s="69"/>
      <c r="W122" s="69"/>
      <c r="Y122" s="103">
        <f>N118</f>
        <v>198.48030767122617</v>
      </c>
      <c r="Z122" s="69"/>
      <c r="AE122" s="69"/>
      <c r="AF122" s="69"/>
      <c r="AG122" s="69"/>
    </row>
    <row r="123" spans="4:33" x14ac:dyDescent="0.25">
      <c r="D123" s="69"/>
      <c r="E123" s="69"/>
      <c r="F123" s="69"/>
      <c r="G123" s="69"/>
      <c r="H123" s="69"/>
      <c r="I123" s="186">
        <f>S109</f>
        <v>311.61008827354067</v>
      </c>
      <c r="J123" s="69"/>
      <c r="K123" s="69"/>
      <c r="L123" s="69"/>
      <c r="M123" s="69"/>
      <c r="N123" s="69"/>
      <c r="O123" s="69"/>
      <c r="P123" s="69"/>
      <c r="Q123" s="69"/>
      <c r="R123" s="2"/>
      <c r="S123" s="69"/>
      <c r="T123" s="45">
        <f>N119</f>
        <v>2862.8256398255503</v>
      </c>
      <c r="U123" s="69"/>
      <c r="V123" s="69"/>
      <c r="W123" s="69"/>
      <c r="Y123" s="104">
        <f>N119</f>
        <v>2862.8256398255503</v>
      </c>
      <c r="Z123" s="69"/>
      <c r="AE123" s="69"/>
      <c r="AF123" s="120" t="s">
        <v>4</v>
      </c>
      <c r="AG123" s="69"/>
    </row>
    <row r="124" spans="4:33" x14ac:dyDescent="0.25">
      <c r="D124" s="69"/>
      <c r="E124" s="69"/>
      <c r="F124" s="69"/>
      <c r="G124" s="69"/>
      <c r="H124" s="69"/>
      <c r="I124" s="187">
        <f>S110</f>
        <v>3066.5432845854625</v>
      </c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E124" s="69"/>
      <c r="AF124" s="121">
        <f>B137*B118</f>
        <v>0</v>
      </c>
      <c r="AG124" s="69"/>
    </row>
    <row r="125" spans="4:33" x14ac:dyDescent="0.25"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E125" s="69"/>
      <c r="AF125" s="122">
        <f>AF46</f>
        <v>2.2999999999999998</v>
      </c>
      <c r="AG125" s="69"/>
    </row>
    <row r="126" spans="4:33" x14ac:dyDescent="0.25"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E126" s="69"/>
      <c r="AF126" s="123">
        <f>AF47</f>
        <v>125.68750868940305</v>
      </c>
      <c r="AG126" s="69"/>
    </row>
    <row r="127" spans="4:33" x14ac:dyDescent="0.25"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AA127" s="15"/>
      <c r="AD127" s="15"/>
      <c r="AF127" s="124">
        <f>[1]!h_pt(AF125,AF126)</f>
        <v>2714.8610157432636</v>
      </c>
      <c r="AG127" s="69"/>
    </row>
    <row r="128" spans="4:33" x14ac:dyDescent="0.25"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E128" s="69"/>
      <c r="AF128" s="69"/>
      <c r="AG128" s="69"/>
    </row>
    <row r="129" spans="4:33" x14ac:dyDescent="0.25">
      <c r="D129" s="69"/>
      <c r="E129" s="69"/>
      <c r="F129" s="69"/>
      <c r="G129" s="69"/>
      <c r="H129" s="69"/>
      <c r="I129" s="184">
        <f>I121</f>
        <v>0</v>
      </c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107">
        <f>AF124*(AF127-N119)/(V132-N119)</f>
        <v>0</v>
      </c>
      <c r="Y129" s="69"/>
      <c r="Z129" s="69"/>
      <c r="AB129" s="15" t="s">
        <v>42</v>
      </c>
      <c r="AC129" s="21">
        <v>7.4999999999999997E-2</v>
      </c>
      <c r="AE129" s="69"/>
      <c r="AF129" s="35"/>
      <c r="AG129" s="69"/>
    </row>
    <row r="130" spans="4:33" x14ac:dyDescent="0.25">
      <c r="D130" s="69"/>
      <c r="E130" s="69"/>
      <c r="F130" s="69"/>
      <c r="G130" s="69"/>
      <c r="H130" s="69"/>
      <c r="I130" s="185">
        <f>I122</f>
        <v>14</v>
      </c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108">
        <f>P132</f>
        <v>5.5</v>
      </c>
      <c r="Y130" s="69"/>
      <c r="Z130" s="69"/>
      <c r="AE130" s="69"/>
      <c r="AF130" s="25"/>
      <c r="AG130" s="69"/>
    </row>
    <row r="131" spans="4:33" x14ac:dyDescent="0.25">
      <c r="D131" s="69"/>
      <c r="E131" s="69"/>
      <c r="F131" s="69"/>
      <c r="G131" s="69"/>
      <c r="H131" s="69"/>
      <c r="I131" s="187">
        <f>[1]!T_ph(I130,I132)</f>
        <v>195.05824323172402</v>
      </c>
      <c r="J131" s="69"/>
      <c r="K131" s="69"/>
      <c r="L131" s="69"/>
      <c r="M131" s="69"/>
      <c r="N131" s="69"/>
      <c r="O131" s="69"/>
      <c r="P131" s="39">
        <f>(R100*(R115-R103)/(P134-R115))</f>
        <v>1.9392402159247348</v>
      </c>
      <c r="Q131" s="69"/>
      <c r="R131" s="69"/>
      <c r="S131" s="69"/>
      <c r="T131" s="69"/>
      <c r="U131" s="69"/>
      <c r="V131" s="109">
        <f>T144</f>
        <v>104.76852342482843</v>
      </c>
      <c r="Y131" s="69"/>
      <c r="Z131" s="69"/>
      <c r="AE131" s="69"/>
      <c r="AF131" s="31"/>
      <c r="AG131" s="69"/>
    </row>
    <row r="132" spans="4:33" x14ac:dyDescent="0.25">
      <c r="D132" s="69"/>
      <c r="E132" s="69"/>
      <c r="F132" s="69"/>
      <c r="G132" s="69"/>
      <c r="H132" s="69"/>
      <c r="I132" s="187">
        <f>[1]!hL_p(I130)</f>
        <v>830.13214164679118</v>
      </c>
      <c r="J132" s="69"/>
      <c r="K132" s="69"/>
      <c r="L132" s="69"/>
      <c r="M132" s="69"/>
      <c r="N132" s="69"/>
      <c r="O132" s="69"/>
      <c r="P132" s="65">
        <f>R101*1.1</f>
        <v>5.5</v>
      </c>
      <c r="Q132" s="69"/>
      <c r="R132" s="69"/>
      <c r="S132" s="69"/>
      <c r="T132" s="69"/>
      <c r="U132" s="69"/>
      <c r="V132" s="110">
        <f>T146</f>
        <v>439.23487109047136</v>
      </c>
      <c r="Y132" s="69"/>
      <c r="AA132" s="35"/>
      <c r="AB132" s="35">
        <f>AB102</f>
        <v>128.17788913938313</v>
      </c>
      <c r="AC132" s="35"/>
      <c r="AD132" s="35"/>
      <c r="AE132" s="69"/>
      <c r="AF132" s="32"/>
      <c r="AG132" s="69"/>
    </row>
    <row r="133" spans="4:33" x14ac:dyDescent="0.25"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43">
        <f>T144</f>
        <v>104.76852342482843</v>
      </c>
      <c r="Q133" s="69"/>
      <c r="R133" s="69"/>
      <c r="S133" s="69"/>
      <c r="T133" s="69"/>
      <c r="U133" s="69"/>
      <c r="V133" s="69"/>
      <c r="W133" s="69"/>
      <c r="X133" s="69"/>
      <c r="Y133" s="69"/>
      <c r="AA133" s="21"/>
      <c r="AB133" s="21">
        <v>4</v>
      </c>
      <c r="AC133" s="21"/>
      <c r="AD133" s="21"/>
      <c r="AE133" s="69"/>
      <c r="AF133" s="69"/>
      <c r="AG133" s="69"/>
    </row>
    <row r="134" spans="4:33" x14ac:dyDescent="0.25"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27">
        <f>T146</f>
        <v>439.23487109047136</v>
      </c>
      <c r="Q134" s="69"/>
      <c r="R134" s="69"/>
      <c r="S134" s="69"/>
      <c r="T134" s="69"/>
      <c r="U134" s="69"/>
      <c r="V134" s="69"/>
      <c r="W134" s="69"/>
      <c r="X134" s="69"/>
      <c r="Y134" s="69"/>
      <c r="AA134" s="31"/>
      <c r="AB134" s="31">
        <f>[1]!T_ph(AB133,AB135)</f>
        <v>40.223711016855475</v>
      </c>
      <c r="AC134" s="31"/>
      <c r="AD134" s="31"/>
      <c r="AE134" s="69"/>
      <c r="AF134" s="69"/>
      <c r="AG134" s="69"/>
    </row>
    <row r="135" spans="4:33" x14ac:dyDescent="0.25"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69"/>
      <c r="S135" s="69"/>
      <c r="T135" s="69"/>
      <c r="U135" s="69"/>
      <c r="V135" s="69"/>
      <c r="W135" s="69"/>
      <c r="X135" s="69"/>
      <c r="Y135" s="69"/>
      <c r="AA135" s="32"/>
      <c r="AB135" s="32">
        <f>[1]!hL_p(AC129)</f>
        <v>168.75964207693656</v>
      </c>
      <c r="AC135" s="32"/>
      <c r="AD135" s="32"/>
      <c r="AE135" s="69"/>
      <c r="AF135" s="69"/>
      <c r="AG135" s="69"/>
    </row>
    <row r="136" spans="4:33" x14ac:dyDescent="0.25">
      <c r="D136" s="69"/>
      <c r="E136" s="69"/>
      <c r="F136" s="69"/>
      <c r="G136" s="69"/>
      <c r="H136" s="35">
        <f>H94</f>
        <v>145.82707151686913</v>
      </c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69"/>
      <c r="U136" s="69"/>
      <c r="V136" s="69"/>
      <c r="W136" s="69"/>
      <c r="X136" s="69"/>
      <c r="Y136" s="69"/>
      <c r="Z136" s="14"/>
      <c r="AA136" s="14"/>
      <c r="AB136" s="14"/>
      <c r="AC136" s="14"/>
      <c r="AD136" s="14"/>
      <c r="AE136" s="69"/>
      <c r="AF136" s="120" t="s">
        <v>56</v>
      </c>
      <c r="AG136" s="69"/>
    </row>
    <row r="137" spans="4:33" x14ac:dyDescent="0.25">
      <c r="D137" s="69"/>
      <c r="E137" s="69"/>
      <c r="F137" s="69"/>
      <c r="G137" s="69"/>
      <c r="H137" s="25">
        <f>H95</f>
        <v>54</v>
      </c>
      <c r="I137" s="69"/>
      <c r="J137" s="69"/>
      <c r="K137" s="69"/>
      <c r="L137" s="69"/>
      <c r="M137" s="69"/>
      <c r="N137" s="69"/>
      <c r="O137" s="69"/>
      <c r="P137" s="69"/>
      <c r="Q137" s="69"/>
      <c r="R137" s="69"/>
      <c r="S137" s="69"/>
      <c r="T137" s="69"/>
      <c r="U137" s="69"/>
      <c r="V137" s="69"/>
      <c r="W137" s="69"/>
      <c r="X137" s="69"/>
      <c r="Y137" s="69"/>
      <c r="Z137" s="69"/>
      <c r="AE137" s="69"/>
      <c r="AF137" s="121">
        <f>0.85*AF124</f>
        <v>0</v>
      </c>
      <c r="AG137" s="69"/>
    </row>
    <row r="138" spans="4:33" x14ac:dyDescent="0.25">
      <c r="D138" s="69"/>
      <c r="E138" s="69"/>
      <c r="F138" s="69"/>
      <c r="G138" s="69"/>
      <c r="H138" s="26">
        <f>T144</f>
        <v>104.76852342482843</v>
      </c>
      <c r="I138" s="69"/>
      <c r="J138" s="69"/>
      <c r="K138" s="69"/>
      <c r="L138" s="69"/>
      <c r="M138" s="69"/>
      <c r="N138" s="69"/>
      <c r="O138" s="69"/>
      <c r="P138" s="69"/>
      <c r="Q138" s="69"/>
      <c r="R138" s="69"/>
      <c r="S138" s="69"/>
      <c r="T138" s="69"/>
      <c r="U138" s="69"/>
      <c r="V138" s="69"/>
      <c r="W138" s="69"/>
      <c r="X138" s="69"/>
      <c r="Y138" s="69"/>
      <c r="Z138" s="69"/>
      <c r="AE138" s="69"/>
      <c r="AF138" s="122">
        <f>AF59</f>
        <v>4</v>
      </c>
      <c r="AG138" s="69"/>
    </row>
    <row r="139" spans="4:33" x14ac:dyDescent="0.25">
      <c r="D139" s="69"/>
      <c r="E139" s="69"/>
      <c r="F139" s="69"/>
      <c r="G139" s="69"/>
      <c r="H139" s="32">
        <f>[1]!h_pt(H137,H138)</f>
        <v>443.14699569149485</v>
      </c>
      <c r="I139" s="69"/>
      <c r="J139" s="69"/>
      <c r="K139" s="69"/>
      <c r="L139" s="69"/>
      <c r="M139" s="69"/>
      <c r="N139" s="69"/>
      <c r="O139" s="69"/>
      <c r="P139" s="69"/>
      <c r="Q139" s="69"/>
      <c r="R139" s="69"/>
      <c r="S139" s="69"/>
      <c r="T139" s="69"/>
      <c r="U139" s="69"/>
      <c r="V139" s="69"/>
      <c r="W139" s="69"/>
      <c r="X139" s="69"/>
      <c r="Y139" s="69"/>
      <c r="Z139" s="69"/>
      <c r="AE139" s="69"/>
      <c r="AF139" s="123">
        <f>AF60</f>
        <v>90</v>
      </c>
      <c r="AG139" s="69"/>
    </row>
    <row r="140" spans="4:33" x14ac:dyDescent="0.25"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9"/>
      <c r="U140" s="69"/>
      <c r="V140" s="69"/>
      <c r="W140" s="69"/>
      <c r="X140" s="69"/>
      <c r="Y140" s="69"/>
      <c r="Z140" s="69"/>
      <c r="AE140" s="69"/>
      <c r="AF140" s="124">
        <f>[1]!h_pt(AF138,AF139)</f>
        <v>377.22363852334036</v>
      </c>
      <c r="AG140" s="69"/>
    </row>
    <row r="141" spans="4:33" x14ac:dyDescent="0.25"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/>
      <c r="T141" s="69"/>
      <c r="U141" s="69"/>
      <c r="V141" s="69"/>
      <c r="W141" s="69"/>
      <c r="X141" s="69"/>
      <c r="Y141" s="69"/>
      <c r="Z141" s="69"/>
      <c r="AE141" s="69"/>
      <c r="AF141" s="69"/>
      <c r="AG141" s="69"/>
    </row>
    <row r="142" spans="4:33" x14ac:dyDescent="0.25"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9"/>
      <c r="U142" s="69"/>
      <c r="V142" s="69"/>
      <c r="W142" s="69"/>
      <c r="X142" s="69"/>
      <c r="Y142" s="69"/>
      <c r="Z142" s="69"/>
      <c r="AE142" s="69"/>
      <c r="AF142" s="46" t="s">
        <v>5</v>
      </c>
      <c r="AG142" s="69"/>
    </row>
    <row r="143" spans="4:33" x14ac:dyDescent="0.25"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35">
        <f>H94</f>
        <v>145.82707151686913</v>
      </c>
      <c r="Q143" s="69"/>
      <c r="R143" s="69"/>
      <c r="S143" s="69"/>
      <c r="T143" s="69"/>
      <c r="U143" s="69"/>
      <c r="V143" s="35">
        <f>AF143</f>
        <v>5.4021677631733631</v>
      </c>
      <c r="X143" s="69"/>
      <c r="Y143" s="69"/>
      <c r="Z143" s="69"/>
      <c r="AE143" s="69"/>
      <c r="AF143" s="86">
        <v>5.4021677631733631</v>
      </c>
      <c r="AG143" s="125">
        <f>P143+P131+V129-M107-I129-AB132-AF137-T120</f>
        <v>5.4021677631733613</v>
      </c>
    </row>
    <row r="144" spans="4:33" x14ac:dyDescent="0.25"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25">
        <f>T145</f>
        <v>1.199365413994592</v>
      </c>
      <c r="Q144" s="69"/>
      <c r="R144" s="69"/>
      <c r="S144" s="3" t="s">
        <v>43</v>
      </c>
      <c r="T144" s="98">
        <f>T65</f>
        <v>104.76852342482843</v>
      </c>
      <c r="U144" s="69"/>
      <c r="V144" s="129">
        <f>AF144-1</f>
        <v>3</v>
      </c>
      <c r="X144" s="69"/>
      <c r="Y144" s="69"/>
      <c r="Z144" s="69"/>
      <c r="AE144" s="69"/>
      <c r="AF144" s="99">
        <f>AF65</f>
        <v>4</v>
      </c>
      <c r="AG144" s="69"/>
    </row>
    <row r="145" spans="4:33" x14ac:dyDescent="0.25"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69"/>
      <c r="P145" s="26">
        <f>T144</f>
        <v>104.76852342482843</v>
      </c>
      <c r="Q145" s="69"/>
      <c r="R145" s="69"/>
      <c r="S145" s="4" t="s">
        <v>42</v>
      </c>
      <c r="T145" s="84">
        <f>[1]!psat_t(T144)</f>
        <v>1.199365413994592</v>
      </c>
      <c r="U145" s="69"/>
      <c r="V145" s="31">
        <f>[1]!T_ph(V144,V146)</f>
        <v>128.66620239999986</v>
      </c>
      <c r="X145" s="69"/>
      <c r="Y145" s="69"/>
      <c r="Z145" s="35">
        <f>K107</f>
        <v>5.4016878194028051</v>
      </c>
      <c r="AA145" s="35"/>
      <c r="AB145" s="35"/>
      <c r="AC145" s="35"/>
      <c r="AD145" s="35"/>
      <c r="AE145" s="69"/>
      <c r="AF145" s="78">
        <v>30</v>
      </c>
      <c r="AG145" s="69"/>
    </row>
    <row r="146" spans="4:33" x14ac:dyDescent="0.25"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45">
        <f>T146</f>
        <v>439.23487109047136</v>
      </c>
      <c r="Q146" s="69"/>
      <c r="R146" s="69"/>
      <c r="S146" s="6" t="s">
        <v>60</v>
      </c>
      <c r="T146" s="85">
        <f>[1]!hL_T(T144)</f>
        <v>439.23487109047136</v>
      </c>
      <c r="U146" s="69"/>
      <c r="V146" s="130">
        <f>AF146+(K107*(K110-Z148)/AF143)</f>
        <v>540.66022474768067</v>
      </c>
      <c r="X146" s="69"/>
      <c r="Y146" s="69"/>
      <c r="Z146" s="129">
        <f>K108-0.5</f>
        <v>2.5</v>
      </c>
      <c r="AA146" s="129"/>
      <c r="AB146" s="129"/>
      <c r="AC146" s="129"/>
      <c r="AD146" s="129"/>
      <c r="AE146" s="69"/>
      <c r="AF146" s="66">
        <f>[1]!h_pt(AF144,AF145)</f>
        <v>126.10612108612105</v>
      </c>
      <c r="AG146" s="69"/>
    </row>
    <row r="147" spans="4:33" x14ac:dyDescent="0.25">
      <c r="D147" s="69"/>
      <c r="E147" s="69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T147" s="69"/>
      <c r="U147" s="69"/>
      <c r="V147" s="69"/>
      <c r="W147" s="69"/>
      <c r="X147" s="69"/>
      <c r="Y147" s="69"/>
      <c r="Z147" s="131">
        <f>AF145+5</f>
        <v>35</v>
      </c>
      <c r="AA147" s="131"/>
      <c r="AB147" s="131"/>
      <c r="AC147" s="131"/>
      <c r="AD147" s="131"/>
      <c r="AE147" s="69"/>
      <c r="AF147" s="69"/>
      <c r="AG147" s="69"/>
    </row>
    <row r="148" spans="4:33" x14ac:dyDescent="0.25">
      <c r="R148" s="134" t="s">
        <v>81</v>
      </c>
      <c r="Z148" s="130">
        <f>[1]!h_pt(Z146,Z147)</f>
        <v>146.86447317120655</v>
      </c>
      <c r="AA148" s="130"/>
      <c r="AB148" s="130"/>
      <c r="AC148" s="130"/>
      <c r="AD148" s="130"/>
    </row>
    <row r="149" spans="4:33" x14ac:dyDescent="0.25">
      <c r="R149" s="147">
        <f>V143+AB132+AF137+T120+I129+M107-P143-P131-V129</f>
        <v>6.2172489379008766E-15</v>
      </c>
      <c r="Z149" s="133"/>
    </row>
    <row r="150" spans="4:33" x14ac:dyDescent="0.25">
      <c r="R150" s="148">
        <f>V143*V146+AB132*AB135+T120*T123+I129*I132+M107*M110+AF137*AF140-P143*P146-P131*P134-V129*V132</f>
        <v>5.1159076974727213E-12</v>
      </c>
      <c r="Z150" s="133"/>
    </row>
    <row r="151" spans="4:33" x14ac:dyDescent="0.25">
      <c r="Z151" s="133"/>
    </row>
    <row r="152" spans="4:33" x14ac:dyDescent="0.25">
      <c r="Z152" s="132" t="s">
        <v>58</v>
      </c>
      <c r="AA152" s="1"/>
      <c r="AB152" s="1"/>
      <c r="AC152" s="1"/>
      <c r="AD152" s="1"/>
    </row>
  </sheetData>
  <mergeCells count="1">
    <mergeCell ref="K33:L33"/>
  </mergeCells>
  <conditionalFormatting sqref="AF22">
    <cfRule type="cellIs" dxfId="60" priority="22" operator="lessThanOrEqual">
      <formula>0</formula>
    </cfRule>
    <cfRule type="cellIs" dxfId="59" priority="23" operator="greaterThan">
      <formula>0</formula>
    </cfRule>
  </conditionalFormatting>
  <conditionalFormatting sqref="AF37">
    <cfRule type="cellIs" dxfId="58" priority="19" operator="lessThanOrEqual">
      <formula>-0.01</formula>
    </cfRule>
    <cfRule type="cellIs" dxfId="57" priority="20" operator="greaterThanOrEqual">
      <formula>0.01</formula>
    </cfRule>
    <cfRule type="cellIs" dxfId="56" priority="21" operator="between">
      <formula>0.01</formula>
      <formula>-0.01</formula>
    </cfRule>
  </conditionalFormatting>
  <conditionalFormatting sqref="AF28">
    <cfRule type="cellIs" dxfId="55" priority="16" operator="between">
      <formula>-0.01</formula>
      <formula>0.01</formula>
    </cfRule>
    <cfRule type="cellIs" dxfId="54" priority="17" operator="lessThanOrEqual">
      <formula>-0.01</formula>
    </cfRule>
    <cfRule type="cellIs" dxfId="53" priority="18" operator="greaterThanOrEqual">
      <formula>0.01</formula>
    </cfRule>
  </conditionalFormatting>
  <conditionalFormatting sqref="AF101">
    <cfRule type="cellIs" dxfId="52" priority="13" operator="lessThanOrEqual">
      <formula>0</formula>
    </cfRule>
    <cfRule type="cellIs" dxfId="51" priority="14" operator="greaterThan">
      <formula>0</formula>
    </cfRule>
  </conditionalFormatting>
  <conditionalFormatting sqref="AF116">
    <cfRule type="cellIs" dxfId="50" priority="10" operator="lessThanOrEqual">
      <formula>-0.01</formula>
    </cfRule>
    <cfRule type="cellIs" dxfId="49" priority="11" operator="greaterThanOrEqual">
      <formula>0.01</formula>
    </cfRule>
    <cfRule type="cellIs" dxfId="48" priority="12" operator="between">
      <formula>0.01</formula>
      <formula>-0.01</formula>
    </cfRule>
  </conditionalFormatting>
  <conditionalFormatting sqref="AF107">
    <cfRule type="cellIs" dxfId="47" priority="7" operator="between">
      <formula>-0.01</formula>
      <formula>0.01</formula>
    </cfRule>
    <cfRule type="cellIs" dxfId="46" priority="8" operator="lessThanOrEqual">
      <formula>-0.01</formula>
    </cfRule>
    <cfRule type="cellIs" dxfId="45" priority="9" operator="greaterThanOrEqual">
      <formula>0.01</formula>
    </cfRule>
  </conditionalFormatting>
  <conditionalFormatting sqref="R70:R71">
    <cfRule type="cellIs" dxfId="44" priority="4" operator="between">
      <formula>0.01</formula>
      <formula>-0.01</formula>
    </cfRule>
    <cfRule type="cellIs" dxfId="43" priority="5" operator="greaterThanOrEqual">
      <formula>0.01</formula>
    </cfRule>
    <cfRule type="cellIs" dxfId="42" priority="6" operator="lessThanOrEqual">
      <formula>-0.01</formula>
    </cfRule>
  </conditionalFormatting>
  <conditionalFormatting sqref="R149:R150">
    <cfRule type="cellIs" dxfId="41" priority="1" operator="between">
      <formula>0.01</formula>
      <formula>-0.01</formula>
    </cfRule>
    <cfRule type="cellIs" dxfId="40" priority="2" operator="greaterThanOrEqual">
      <formula>0.01</formula>
    </cfRule>
    <cfRule type="cellIs" dxfId="39" priority="3" operator="lessThanOrEqual">
      <formula>-0.01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0" r:id="rId4" name="Button 12">
              <controlPr defaultSize="0" print="0" autoFill="0" autoPict="0" macro="[0]!exhaust_balance">
                <anchor moveWithCells="1" sizeWithCells="1">
                  <from>
                    <xdr:col>8</xdr:col>
                    <xdr:colOff>352425</xdr:colOff>
                    <xdr:row>12</xdr:row>
                    <xdr:rowOff>104775</xdr:rowOff>
                  </from>
                  <to>
                    <xdr:col>9</xdr:col>
                    <xdr:colOff>266700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5" name="Button 13">
              <controlPr defaultSize="0" print="0" autoFill="0" autoPict="0" macro="[0]!exhaust_balance">
                <anchor moveWithCells="1" sizeWithCells="1">
                  <from>
                    <xdr:col>29</xdr:col>
                    <xdr:colOff>0</xdr:colOff>
                    <xdr:row>33</xdr:row>
                    <xdr:rowOff>123825</xdr:rowOff>
                  </from>
                  <to>
                    <xdr:col>29</xdr:col>
                    <xdr:colOff>457200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6" name="Button 36">
              <controlPr defaultSize="0" print="0" autoFill="0" autoPict="0" macro="[0]!exhaust_balance">
                <anchor moveWithCells="1" sizeWithCells="1">
                  <from>
                    <xdr:col>23</xdr:col>
                    <xdr:colOff>238125</xdr:colOff>
                    <xdr:row>112</xdr:row>
                    <xdr:rowOff>133350</xdr:rowOff>
                  </from>
                  <to>
                    <xdr:col>24</xdr:col>
                    <xdr:colOff>104775</xdr:colOff>
                    <xdr:row>113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155"/>
  <sheetViews>
    <sheetView showGridLines="0" topLeftCell="A11" zoomScaleNormal="100" workbookViewId="0">
      <pane xSplit="3" topLeftCell="D1" activePane="topRight" state="frozen"/>
      <selection pane="topRight" activeCell="A23" sqref="A23:XFD23"/>
    </sheetView>
  </sheetViews>
  <sheetFormatPr defaultRowHeight="15" x14ac:dyDescent="0.25"/>
  <cols>
    <col min="1" max="1" width="22.28515625" style="133" bestFit="1" customWidth="1"/>
    <col min="2" max="2" width="14.5703125" style="133" bestFit="1" customWidth="1"/>
    <col min="3" max="3" width="9.140625" style="133" hidden="1" customWidth="1"/>
    <col min="4" max="4" width="11.140625" style="133" bestFit="1" customWidth="1"/>
    <col min="5" max="5" width="9.140625" style="133" bestFit="1" customWidth="1"/>
    <col min="6" max="6" width="9.140625" style="133"/>
    <col min="7" max="7" width="10.140625" style="133" bestFit="1" customWidth="1"/>
    <col min="8" max="8" width="10.7109375" style="133" bestFit="1" customWidth="1"/>
    <col min="9" max="9" width="10.42578125" style="133" bestFit="1" customWidth="1"/>
    <col min="10" max="10" width="9.7109375" style="133" bestFit="1" customWidth="1"/>
    <col min="11" max="11" width="9.28515625" style="133" customWidth="1"/>
    <col min="12" max="14" width="10.42578125" style="133" bestFit="1" customWidth="1"/>
    <col min="15" max="15" width="11.140625" style="133" bestFit="1" customWidth="1"/>
    <col min="16" max="16" width="10.42578125" style="133" bestFit="1" customWidth="1"/>
    <col min="17" max="17" width="9.140625" style="133"/>
    <col min="18" max="18" width="13.28515625" style="133" bestFit="1" customWidth="1"/>
    <col min="19" max="19" width="10.42578125" style="133" bestFit="1" customWidth="1"/>
    <col min="20" max="21" width="11.140625" style="133" bestFit="1" customWidth="1"/>
    <col min="22" max="22" width="10.85546875" style="133" bestFit="1" customWidth="1"/>
    <col min="23" max="25" width="11.140625" style="133" bestFit="1" customWidth="1"/>
    <col min="26" max="26" width="10.85546875" style="133" bestFit="1" customWidth="1"/>
    <col min="27" max="27" width="7" style="133" customWidth="1"/>
    <col min="28" max="28" width="10.42578125" style="133" bestFit="1" customWidth="1"/>
    <col min="29" max="29" width="7" style="133" customWidth="1"/>
    <col min="30" max="30" width="10.5703125" style="133" customWidth="1"/>
    <col min="31" max="31" width="11.7109375" style="133" bestFit="1" customWidth="1"/>
    <col min="32" max="16384" width="9.140625" style="133"/>
  </cols>
  <sheetData>
    <row r="1" spans="1:31" x14ac:dyDescent="0.25">
      <c r="A1" s="1" t="s">
        <v>19</v>
      </c>
      <c r="B1" s="133" t="s">
        <v>20</v>
      </c>
      <c r="L1" s="36">
        <f>G4*J12</f>
        <v>552.281766006113</v>
      </c>
    </row>
    <row r="2" spans="1:31" x14ac:dyDescent="0.25">
      <c r="B2" s="14"/>
      <c r="I2" s="128"/>
      <c r="L2" s="25">
        <f>J8</f>
        <v>45</v>
      </c>
    </row>
    <row r="3" spans="1:31" x14ac:dyDescent="0.25">
      <c r="A3" s="1" t="s">
        <v>21</v>
      </c>
      <c r="B3" s="14"/>
      <c r="D3" s="80" t="s">
        <v>61</v>
      </c>
      <c r="L3" s="26">
        <f>J9</f>
        <v>440</v>
      </c>
    </row>
    <row r="4" spans="1:31" x14ac:dyDescent="0.25">
      <c r="A4" s="1" t="s">
        <v>24</v>
      </c>
      <c r="B4" s="14"/>
      <c r="D4" s="81">
        <f>(B10/B5/B6/24)*B16*(1-B17)+B52</f>
        <v>341</v>
      </c>
      <c r="G4" s="38">
        <v>281.38932205339563</v>
      </c>
      <c r="L4" s="32">
        <f>[1]!h_pt(L2,L3)</f>
        <v>3300.6099676752069</v>
      </c>
    </row>
    <row r="5" spans="1:31" x14ac:dyDescent="0.25">
      <c r="A5" s="133" t="s">
        <v>22</v>
      </c>
      <c r="B5" s="18">
        <v>180</v>
      </c>
      <c r="D5" s="82">
        <f>B50</f>
        <v>7098.09</v>
      </c>
    </row>
    <row r="6" spans="1:31" x14ac:dyDescent="0.25">
      <c r="A6" s="133" t="s">
        <v>23</v>
      </c>
      <c r="B6" s="19">
        <v>1</v>
      </c>
      <c r="O6" s="36">
        <f>P21/P18/(O9-O26)*1000*3.6</f>
        <v>67.177669950286102</v>
      </c>
      <c r="P6" s="30"/>
      <c r="Q6" s="30"/>
      <c r="R6" s="42">
        <v>0</v>
      </c>
      <c r="T6" s="36"/>
      <c r="U6" s="36">
        <f>L1-O6-R6-AD8</f>
        <v>485.10409605582691</v>
      </c>
      <c r="W6" s="24"/>
      <c r="Y6" s="14"/>
    </row>
    <row r="7" spans="1:31" x14ac:dyDescent="0.25">
      <c r="A7" s="133" t="s">
        <v>38</v>
      </c>
      <c r="B7" s="18">
        <v>180</v>
      </c>
      <c r="D7" s="16"/>
      <c r="L7" s="28"/>
      <c r="O7" s="29">
        <f>J8-3</f>
        <v>42</v>
      </c>
      <c r="P7" s="30"/>
      <c r="Q7" s="30"/>
      <c r="R7" s="29">
        <f>J8-3</f>
        <v>42</v>
      </c>
      <c r="T7" s="29"/>
      <c r="U7" s="29">
        <f>J8-3</f>
        <v>42</v>
      </c>
      <c r="W7" s="24"/>
      <c r="Y7" s="14"/>
      <c r="AD7" s="46" t="s">
        <v>54</v>
      </c>
    </row>
    <row r="8" spans="1:31" x14ac:dyDescent="0.25">
      <c r="B8" s="14"/>
      <c r="D8" s="16"/>
      <c r="I8" s="49" t="s">
        <v>42</v>
      </c>
      <c r="J8" s="50">
        <v>45</v>
      </c>
      <c r="O8" s="31">
        <f>L3-5</f>
        <v>435</v>
      </c>
      <c r="P8" s="30"/>
      <c r="Q8" s="30"/>
      <c r="R8" s="31">
        <f>J9-5</f>
        <v>435</v>
      </c>
      <c r="T8" s="31"/>
      <c r="U8" s="31">
        <f>J9-5</f>
        <v>435</v>
      </c>
      <c r="W8" s="24"/>
      <c r="Y8" s="14"/>
      <c r="AD8" s="86">
        <v>0</v>
      </c>
    </row>
    <row r="9" spans="1:31" x14ac:dyDescent="0.25">
      <c r="A9" s="1" t="s">
        <v>29</v>
      </c>
      <c r="B9" s="14"/>
      <c r="E9" s="39">
        <f>D4-G4</f>
        <v>59.610677946604369</v>
      </c>
      <c r="I9" s="4" t="s">
        <v>43</v>
      </c>
      <c r="J9" s="51">
        <v>440</v>
      </c>
      <c r="O9" s="32">
        <f>[1]!h_pt(O7,O8)</f>
        <v>3293.3171514984806</v>
      </c>
      <c r="P9" s="30"/>
      <c r="Q9" s="30"/>
      <c r="R9" s="32">
        <f>[1]!h_pt(R7,R8)</f>
        <v>3293.3171514984806</v>
      </c>
      <c r="T9" s="32"/>
      <c r="U9" s="32">
        <f>[1]!h_pt(R7,R8)</f>
        <v>3293.3171514984806</v>
      </c>
      <c r="W9" s="14"/>
      <c r="Y9" s="14"/>
    </row>
    <row r="10" spans="1:31" x14ac:dyDescent="0.25">
      <c r="A10" s="133" t="s">
        <v>18</v>
      </c>
      <c r="B10" s="20">
        <v>4320000</v>
      </c>
      <c r="E10" s="79" t="s">
        <v>62</v>
      </c>
      <c r="I10" s="4" t="s">
        <v>44</v>
      </c>
      <c r="J10" s="52">
        <v>0.05</v>
      </c>
      <c r="O10" s="34">
        <f>[1]!s_pT(O7,O8)</f>
        <v>6.864141929643508</v>
      </c>
      <c r="R10" s="34">
        <f>[1]!s_pT(O7,O8)</f>
        <v>6.864141929643508</v>
      </c>
      <c r="T10" s="34"/>
      <c r="U10" s="34">
        <f>[1]!s_pT(O7,O8)</f>
        <v>6.864141929643508</v>
      </c>
      <c r="W10" s="14"/>
      <c r="Y10" s="14"/>
    </row>
    <row r="11" spans="1:31" x14ac:dyDescent="0.25">
      <c r="A11" s="133" t="s">
        <v>1</v>
      </c>
      <c r="B11" s="19">
        <v>0.05</v>
      </c>
      <c r="I11" s="4" t="s">
        <v>45</v>
      </c>
      <c r="J11" s="52">
        <v>0.8</v>
      </c>
      <c r="T11" s="14"/>
      <c r="U11" s="14"/>
      <c r="V11" s="14"/>
      <c r="W11" s="14"/>
    </row>
    <row r="12" spans="1:31" x14ac:dyDescent="0.25">
      <c r="A12" s="8" t="s">
        <v>32</v>
      </c>
      <c r="B12" s="19"/>
      <c r="I12" s="6" t="s">
        <v>0</v>
      </c>
      <c r="J12" s="53">
        <f>((J11*D5*(1-J10))/(J10*(L18-H18)+(L4-H18)*(1-J10)))</f>
        <v>1.9626962458131711</v>
      </c>
      <c r="T12" s="14"/>
      <c r="U12" s="14"/>
      <c r="V12" s="14"/>
      <c r="W12" s="14"/>
    </row>
    <row r="13" spans="1:31" x14ac:dyDescent="0.25">
      <c r="A13" s="8" t="s">
        <v>31</v>
      </c>
      <c r="B13" s="18"/>
      <c r="T13" s="14"/>
      <c r="U13" s="15"/>
      <c r="V13" s="19"/>
      <c r="W13" s="14"/>
    </row>
    <row r="14" spans="1:31" x14ac:dyDescent="0.25">
      <c r="B14" s="14"/>
      <c r="U14" s="15"/>
      <c r="V14" s="19"/>
    </row>
    <row r="15" spans="1:31" x14ac:dyDescent="0.25">
      <c r="A15" s="1" t="s">
        <v>25</v>
      </c>
      <c r="B15" s="14"/>
      <c r="H15" s="36">
        <f>L1/(1-J10)</f>
        <v>581.34922737485579</v>
      </c>
      <c r="L15" s="36">
        <f>J10*H15</f>
        <v>29.067461368742791</v>
      </c>
      <c r="U15" s="15"/>
      <c r="V15" s="19"/>
      <c r="AD15" s="22">
        <f>B32</f>
        <v>28</v>
      </c>
      <c r="AE15" s="133" t="s">
        <v>16</v>
      </c>
    </row>
    <row r="16" spans="1:31" x14ac:dyDescent="0.25">
      <c r="A16" s="133" t="s">
        <v>33</v>
      </c>
      <c r="B16" s="19">
        <v>0.3</v>
      </c>
      <c r="H16" s="21">
        <f>1.2*J8</f>
        <v>54</v>
      </c>
      <c r="L16" s="25">
        <f>J8</f>
        <v>45</v>
      </c>
      <c r="O16" s="15"/>
      <c r="P16" s="132" t="s">
        <v>64</v>
      </c>
      <c r="U16" s="15"/>
      <c r="V16" s="19"/>
      <c r="Z16" s="49" t="s">
        <v>51</v>
      </c>
      <c r="AA16" s="153">
        <v>0.81</v>
      </c>
      <c r="AD16" s="14"/>
    </row>
    <row r="17" spans="1:31" x14ac:dyDescent="0.25">
      <c r="A17" s="133" t="s">
        <v>26</v>
      </c>
      <c r="B17" s="19">
        <v>0.03</v>
      </c>
      <c r="H17" s="37">
        <f>H59</f>
        <v>104.76852342482843</v>
      </c>
      <c r="L17" s="31">
        <f>[1]!Tsat_p(L16)</f>
        <v>257.43937131084681</v>
      </c>
      <c r="O17" s="15"/>
      <c r="P17" s="44" t="s">
        <v>49</v>
      </c>
      <c r="Z17" s="154" t="s">
        <v>52</v>
      </c>
      <c r="AA17" s="155">
        <v>0.81</v>
      </c>
      <c r="AB17" s="19"/>
      <c r="AC17" s="19"/>
      <c r="AD17" s="22">
        <f>B33</f>
        <v>21</v>
      </c>
      <c r="AE17" s="133" t="s">
        <v>17</v>
      </c>
    </row>
    <row r="18" spans="1:31" x14ac:dyDescent="0.25">
      <c r="A18" s="133" t="s">
        <v>27</v>
      </c>
      <c r="B18" s="19">
        <v>0.5</v>
      </c>
      <c r="H18" s="32">
        <f>[1]!h_pt(H16,H17)</f>
        <v>443.14699569149485</v>
      </c>
      <c r="L18" s="32">
        <f>[1]!hL_T(L17)</f>
        <v>1122.1429927816589</v>
      </c>
      <c r="P18" s="179">
        <v>0.72</v>
      </c>
      <c r="Z18" s="4" t="s">
        <v>99</v>
      </c>
      <c r="AA18" s="155">
        <v>0.81</v>
      </c>
      <c r="AB18" s="19"/>
      <c r="AC18" s="19"/>
      <c r="AD18" s="14"/>
    </row>
    <row r="19" spans="1:31" x14ac:dyDescent="0.25">
      <c r="A19" s="133" t="s">
        <v>28</v>
      </c>
      <c r="B19" s="152">
        <v>1.4999999999999999E-2</v>
      </c>
      <c r="K19" s="12"/>
      <c r="L19" s="27"/>
      <c r="P19" s="180">
        <v>0.95</v>
      </c>
      <c r="Z19" s="154" t="s">
        <v>50</v>
      </c>
      <c r="AA19" s="155">
        <v>0.98</v>
      </c>
      <c r="AB19" s="19"/>
      <c r="AC19" s="19"/>
      <c r="AD19" s="14"/>
    </row>
    <row r="20" spans="1:31" x14ac:dyDescent="0.25">
      <c r="A20" s="133" t="s">
        <v>31</v>
      </c>
      <c r="B20" s="152">
        <v>0.04</v>
      </c>
      <c r="Z20" s="156" t="s">
        <v>53</v>
      </c>
      <c r="AA20" s="157">
        <v>0.95</v>
      </c>
      <c r="AB20" s="19"/>
      <c r="AC20" s="19"/>
      <c r="AD20" s="22">
        <f>B34</f>
        <v>5</v>
      </c>
      <c r="AE20" s="133" t="s">
        <v>39</v>
      </c>
    </row>
    <row r="21" spans="1:31" x14ac:dyDescent="0.25">
      <c r="M21" s="11"/>
      <c r="P21" s="56">
        <v>6</v>
      </c>
      <c r="R21" s="35">
        <f>R6</f>
        <v>0</v>
      </c>
      <c r="T21" s="38"/>
      <c r="U21" s="38">
        <v>46.7</v>
      </c>
      <c r="V21" s="54"/>
      <c r="Z21" s="55">
        <f>(U6*(U9-U24)+(U6-U21)*(U24-W25)+Y23*(W25-Y26))/3600*AA19*AA20</f>
        <v>61.868296014841221</v>
      </c>
      <c r="AD21" s="14"/>
    </row>
    <row r="22" spans="1:31" x14ac:dyDescent="0.25">
      <c r="B22" s="14"/>
      <c r="R22" s="21">
        <v>5</v>
      </c>
      <c r="T22" s="17"/>
      <c r="U22" s="17">
        <v>14</v>
      </c>
      <c r="W22" s="42">
        <v>434.40409605582687</v>
      </c>
      <c r="AD22" s="22">
        <f>Z21-AD15-AD17-AD20</f>
        <v>7.8682960148412207</v>
      </c>
      <c r="AE22" s="133" t="s">
        <v>57</v>
      </c>
    </row>
    <row r="23" spans="1:31" x14ac:dyDescent="0.25">
      <c r="B23" s="14"/>
      <c r="O23" s="61">
        <f>O6</f>
        <v>67.177669950286102</v>
      </c>
      <c r="R23" s="31">
        <f>[1]!T_ph(R22,R24)</f>
        <v>410.02015945109861</v>
      </c>
      <c r="T23" s="40"/>
      <c r="U23" s="40">
        <f>[1]!T_ph(U22,U24)</f>
        <v>302.92526410979463</v>
      </c>
      <c r="W23" s="21">
        <v>3</v>
      </c>
      <c r="Y23" s="36">
        <f>U6-U21-W22</f>
        <v>4.0000000000000568</v>
      </c>
    </row>
    <row r="24" spans="1:31" x14ac:dyDescent="0.25">
      <c r="A24" s="1" t="s">
        <v>30</v>
      </c>
      <c r="B24" s="14"/>
      <c r="L24" s="58">
        <v>3</v>
      </c>
      <c r="O24" s="58">
        <v>3</v>
      </c>
      <c r="R24" s="45">
        <f>R9</f>
        <v>3293.3171514984806</v>
      </c>
      <c r="T24" s="41"/>
      <c r="U24" s="41">
        <f>U9-AA16*(U9-[1]!h_ps(U22,U10))</f>
        <v>3047.456943990373</v>
      </c>
      <c r="W24" s="31">
        <f>[1]!T_ph(W23,W25)</f>
        <v>157.81324490439721</v>
      </c>
      <c r="Y24" s="25">
        <f>Z42</f>
        <v>7.4999999999999997E-2</v>
      </c>
    </row>
    <row r="25" spans="1:31" x14ac:dyDescent="0.25">
      <c r="A25" s="133" t="s">
        <v>34</v>
      </c>
      <c r="B25" s="19">
        <v>0.5</v>
      </c>
      <c r="L25" s="60">
        <f>[1]!x_ph(L24,L18)</f>
        <v>0.25916528896653551</v>
      </c>
      <c r="O25" s="63">
        <f>[1]!T_ph(O24,O26)</f>
        <v>190.67407115516153</v>
      </c>
      <c r="T25" s="33"/>
      <c r="U25" s="33">
        <f>[1]!s_pT(U22,U23)</f>
        <v>6.9665697248614684</v>
      </c>
      <c r="W25" s="32">
        <f>U24-AA17*(U24-[1]!h_ps(W23,U25))</f>
        <v>2777.9451277757826</v>
      </c>
      <c r="Y25" s="31">
        <f>[1]!T_ph(Y24,Y26)</f>
        <v>40.29159033149449</v>
      </c>
    </row>
    <row r="26" spans="1:31" x14ac:dyDescent="0.25">
      <c r="A26" s="133" t="s">
        <v>35</v>
      </c>
      <c r="B26" s="21">
        <v>2.2999999999999998</v>
      </c>
      <c r="O26" s="64">
        <f>O9-P18*(O9-[1]!h_ps(O24,O10))</f>
        <v>2846.740185935354</v>
      </c>
      <c r="W26" s="34">
        <f>[1]!s_pT(W23,W24)</f>
        <v>7.1183002305953886</v>
      </c>
      <c r="Y26" s="32">
        <f>W25-AA18*(W25-[1]!h_ps(Y24,W26))</f>
        <v>2325.4299977726296</v>
      </c>
    </row>
    <row r="27" spans="1:31" x14ac:dyDescent="0.25">
      <c r="A27" s="133" t="s">
        <v>48</v>
      </c>
      <c r="B27" s="37">
        <f>[1]!Tsat_p(B26)+1</f>
        <v>125.68750868940305</v>
      </c>
      <c r="K27" s="14"/>
      <c r="Y27" s="34">
        <f>[1]!s_ph(Y24,Y26)</f>
        <v>7.4569462373709436</v>
      </c>
      <c r="AD27" s="1" t="s">
        <v>55</v>
      </c>
    </row>
    <row r="28" spans="1:31" x14ac:dyDescent="0.25">
      <c r="A28" s="133" t="s">
        <v>36</v>
      </c>
      <c r="B28" s="42">
        <v>46.7</v>
      </c>
      <c r="K28" s="62">
        <f>L15-M28</f>
        <v>21.534184343588958</v>
      </c>
      <c r="M28" s="36">
        <f>L25*L15</f>
        <v>7.5332770251538328</v>
      </c>
      <c r="S28" s="173">
        <f>U21</f>
        <v>46.7</v>
      </c>
      <c r="AD28" s="35">
        <f>S28-AD33-I42</f>
        <v>0</v>
      </c>
    </row>
    <row r="29" spans="1:31" x14ac:dyDescent="0.25">
      <c r="A29" s="133" t="s">
        <v>37</v>
      </c>
      <c r="B29" s="21">
        <v>14</v>
      </c>
      <c r="K29" s="57">
        <f>L24</f>
        <v>3</v>
      </c>
      <c r="M29" s="59">
        <f>L24</f>
        <v>3</v>
      </c>
      <c r="S29" s="174">
        <f>U22</f>
        <v>14</v>
      </c>
    </row>
    <row r="30" spans="1:31" x14ac:dyDescent="0.25">
      <c r="B30" s="14"/>
      <c r="K30" s="63">
        <f>[1]!T_ph(K29,K31)</f>
        <v>133.54199141940632</v>
      </c>
      <c r="M30" s="31">
        <f>[1]!T_ph(M29,M31)</f>
        <v>133.51815045080383</v>
      </c>
      <c r="S30" s="175">
        <f>U23</f>
        <v>302.92526410979463</v>
      </c>
    </row>
    <row r="31" spans="1:31" x14ac:dyDescent="0.25">
      <c r="A31" s="1" t="s">
        <v>41</v>
      </c>
      <c r="B31" s="14"/>
      <c r="K31" s="41">
        <f>[1]!hL_p(K29)</f>
        <v>561.45541025710759</v>
      </c>
      <c r="M31" s="32">
        <f>[1]!hV_p(M29)</f>
        <v>2724.8916665566508</v>
      </c>
      <c r="S31" s="176">
        <f>U24</f>
        <v>3047.456943990373</v>
      </c>
    </row>
    <row r="32" spans="1:31" x14ac:dyDescent="0.25">
      <c r="A32" s="133" t="s">
        <v>16</v>
      </c>
      <c r="B32" s="23">
        <v>28</v>
      </c>
      <c r="N32" s="14"/>
      <c r="AD32" s="46" t="s">
        <v>63</v>
      </c>
    </row>
    <row r="33" spans="1:30" x14ac:dyDescent="0.25">
      <c r="A33" s="133" t="s">
        <v>17</v>
      </c>
      <c r="B33" s="23">
        <v>21</v>
      </c>
      <c r="K33" s="208"/>
      <c r="L33" s="208"/>
      <c r="N33" s="14"/>
      <c r="R33" s="36">
        <f>R21+P52</f>
        <v>0</v>
      </c>
      <c r="AD33" s="86">
        <f>B28</f>
        <v>46.7</v>
      </c>
    </row>
    <row r="34" spans="1:30" x14ac:dyDescent="0.25">
      <c r="A34" s="133" t="s">
        <v>39</v>
      </c>
      <c r="B34" s="23">
        <v>5</v>
      </c>
      <c r="R34" s="25">
        <f>O24</f>
        <v>3</v>
      </c>
    </row>
    <row r="35" spans="1:30" x14ac:dyDescent="0.25">
      <c r="B35" s="14"/>
      <c r="R35" s="26">
        <f>O25</f>
        <v>190.67407115516153</v>
      </c>
    </row>
    <row r="36" spans="1:30" x14ac:dyDescent="0.25">
      <c r="A36" s="1" t="s">
        <v>40</v>
      </c>
      <c r="B36" s="14"/>
      <c r="E36" s="27"/>
      <c r="R36" s="45">
        <f>O26</f>
        <v>2846.740185935354</v>
      </c>
      <c r="U36" s="2"/>
      <c r="V36" s="2"/>
      <c r="AD36" s="1" t="s">
        <v>55</v>
      </c>
    </row>
    <row r="37" spans="1:30" x14ac:dyDescent="0.25">
      <c r="A37" s="133" t="s">
        <v>16</v>
      </c>
      <c r="B37" s="23">
        <v>4.5</v>
      </c>
      <c r="N37" s="71">
        <f>O23+R33+W22</f>
        <v>501.58176600611296</v>
      </c>
      <c r="AD37" s="67">
        <f>N37-AB45-T41-AD41</f>
        <v>-1.030876964023264E-4</v>
      </c>
    </row>
    <row r="38" spans="1:30" x14ac:dyDescent="0.25">
      <c r="A38" s="133" t="s">
        <v>17</v>
      </c>
      <c r="B38" s="23">
        <v>21</v>
      </c>
      <c r="N38" s="75">
        <f>W23</f>
        <v>3</v>
      </c>
      <c r="AA38" s="1"/>
      <c r="AB38" s="1"/>
      <c r="AC38" s="1"/>
    </row>
    <row r="39" spans="1:30" x14ac:dyDescent="0.25">
      <c r="A39" s="133" t="s">
        <v>39</v>
      </c>
      <c r="B39" s="23">
        <v>4</v>
      </c>
      <c r="N39" s="73">
        <f>[1]!T_ph(N38,N40)</f>
        <v>162.14847367857158</v>
      </c>
    </row>
    <row r="40" spans="1:30" x14ac:dyDescent="0.25">
      <c r="B40" s="14"/>
      <c r="N40" s="74">
        <f>(O23*O26+R33*R36+W22*W25)/(N37)</f>
        <v>2787.1589629358073</v>
      </c>
      <c r="AD40" s="46" t="s">
        <v>59</v>
      </c>
    </row>
    <row r="41" spans="1:30" x14ac:dyDescent="0.25">
      <c r="A41" s="1" t="s">
        <v>82</v>
      </c>
      <c r="T41" s="36">
        <f>(W58*(W61-W70)+P52*(P55-W70)+P67*(P70-W70)+Y46*(W70-Y49)+AD61*(W70-AD64)+I50*(W70-I53)+M28*(W70-M31))/(T44-W70)</f>
        <v>16.978011465627162</v>
      </c>
      <c r="AD41" s="86">
        <v>0</v>
      </c>
    </row>
    <row r="42" spans="1:30" x14ac:dyDescent="0.25">
      <c r="A42" s="133" t="s">
        <v>83</v>
      </c>
      <c r="B42" s="18">
        <v>4</v>
      </c>
      <c r="I42" s="36">
        <f>(H15*(H18-H60)/(I45-I53))</f>
        <v>0</v>
      </c>
      <c r="J42" s="76"/>
      <c r="T42" s="25">
        <f>N38</f>
        <v>3</v>
      </c>
      <c r="Y42" s="15" t="s">
        <v>42</v>
      </c>
      <c r="Z42" s="21">
        <v>7.4999999999999997E-2</v>
      </c>
    </row>
    <row r="43" spans="1:30" x14ac:dyDescent="0.25">
      <c r="A43" s="133" t="s">
        <v>84</v>
      </c>
      <c r="B43" s="19">
        <v>0.8</v>
      </c>
      <c r="I43" s="25">
        <f>S29</f>
        <v>14</v>
      </c>
      <c r="T43" s="26">
        <f>N39</f>
        <v>162.14847367857158</v>
      </c>
    </row>
    <row r="44" spans="1:30" x14ac:dyDescent="0.25">
      <c r="I44" s="26">
        <f>S30</f>
        <v>302.92526410979463</v>
      </c>
      <c r="T44" s="45">
        <f>N40</f>
        <v>2787.1589629358073</v>
      </c>
    </row>
    <row r="45" spans="1:30" x14ac:dyDescent="0.25">
      <c r="A45" s="1" t="s">
        <v>85</v>
      </c>
      <c r="I45" s="45">
        <f>S31</f>
        <v>3047.456943990373</v>
      </c>
      <c r="AB45" s="36">
        <f>AD53-W58</f>
        <v>484.6038576281822</v>
      </c>
    </row>
    <row r="46" spans="1:30" x14ac:dyDescent="0.25">
      <c r="A46" s="133" t="s">
        <v>86</v>
      </c>
      <c r="B46" s="18">
        <v>1</v>
      </c>
      <c r="Y46" s="35">
        <f>Y23</f>
        <v>4.0000000000000568</v>
      </c>
      <c r="AB46" s="25">
        <f>N38</f>
        <v>3</v>
      </c>
    </row>
    <row r="47" spans="1:30" x14ac:dyDescent="0.25">
      <c r="A47" s="133" t="s">
        <v>87</v>
      </c>
      <c r="B47" s="18">
        <v>1</v>
      </c>
      <c r="Y47" s="21">
        <v>4</v>
      </c>
      <c r="AB47" s="26">
        <f>N39</f>
        <v>162.14847367857158</v>
      </c>
    </row>
    <row r="48" spans="1:30" x14ac:dyDescent="0.25">
      <c r="Y48" s="31">
        <f>[1]!T_ph(Y47,Y49)</f>
        <v>40.223711016855475</v>
      </c>
      <c r="AB48" s="45">
        <f>N40</f>
        <v>2787.1589629358073</v>
      </c>
      <c r="AC48" s="21"/>
    </row>
    <row r="49" spans="1:30" x14ac:dyDescent="0.25">
      <c r="A49" s="1" t="s">
        <v>46</v>
      </c>
      <c r="Y49" s="32">
        <f>[1]!hL_p(Z42)</f>
        <v>168.75964207693656</v>
      </c>
    </row>
    <row r="50" spans="1:30" x14ac:dyDescent="0.25">
      <c r="A50" s="133" t="s">
        <v>3</v>
      </c>
      <c r="B50" s="32">
        <f>18309-207.6*B18*100-31.14*B19*100-196.05*B20*100</f>
        <v>7098.09</v>
      </c>
      <c r="I50" s="35">
        <f>I42</f>
        <v>0</v>
      </c>
      <c r="AD50" s="35"/>
    </row>
    <row r="51" spans="1:30" x14ac:dyDescent="0.25">
      <c r="A51" s="133" t="s">
        <v>47</v>
      </c>
      <c r="B51" s="36">
        <f>B10/B5/B6/24</f>
        <v>1000</v>
      </c>
      <c r="I51" s="25">
        <f>I43</f>
        <v>14</v>
      </c>
    </row>
    <row r="52" spans="1:30" x14ac:dyDescent="0.25">
      <c r="A52" s="133" t="s">
        <v>65</v>
      </c>
      <c r="B52" s="36">
        <f>B11*B10/24/B5/B6</f>
        <v>50</v>
      </c>
      <c r="I52" s="32">
        <f>[1]!T_ph(I51,I53)</f>
        <v>195.05824323172402</v>
      </c>
      <c r="P52" s="39">
        <f>(R21*(R36-R24)/(P55-R36))</f>
        <v>0</v>
      </c>
      <c r="AD52" s="46" t="s">
        <v>4</v>
      </c>
    </row>
    <row r="53" spans="1:30" x14ac:dyDescent="0.25">
      <c r="B53" s="32"/>
      <c r="I53" s="32">
        <f>[1]!hL_p(I51)</f>
        <v>830.13214164679118</v>
      </c>
      <c r="P53" s="65">
        <f>R22*1.1</f>
        <v>5.5</v>
      </c>
      <c r="AD53" s="87">
        <f>B51*B25</f>
        <v>500</v>
      </c>
    </row>
    <row r="54" spans="1:30" x14ac:dyDescent="0.25">
      <c r="P54" s="43">
        <f>T68</f>
        <v>104.76852342482843</v>
      </c>
      <c r="AD54" s="47">
        <f>B26</f>
        <v>2.2999999999999998</v>
      </c>
    </row>
    <row r="55" spans="1:30" x14ac:dyDescent="0.25">
      <c r="P55" s="27">
        <f>T70</f>
        <v>439.23487109047136</v>
      </c>
      <c r="AD55" s="48">
        <f>B27</f>
        <v>125.68750868940305</v>
      </c>
    </row>
    <row r="56" spans="1:30" x14ac:dyDescent="0.25">
      <c r="AD56" s="66">
        <f>[1]!h_pt(AD54,AD55)</f>
        <v>2714.8610157432636</v>
      </c>
    </row>
    <row r="57" spans="1:30" x14ac:dyDescent="0.25">
      <c r="H57" s="35">
        <f>H15</f>
        <v>581.34922737485579</v>
      </c>
    </row>
    <row r="58" spans="1:30" x14ac:dyDescent="0.25">
      <c r="H58" s="25">
        <f>H16</f>
        <v>54</v>
      </c>
      <c r="W58" s="62">
        <f>AD53*(AD56-N40)/(W61-N40)</f>
        <v>15.396142371817815</v>
      </c>
    </row>
    <row r="59" spans="1:30" x14ac:dyDescent="0.25">
      <c r="H59" s="26">
        <f>T68</f>
        <v>104.76852342482843</v>
      </c>
      <c r="W59" s="65">
        <f>P53</f>
        <v>5.5</v>
      </c>
    </row>
    <row r="60" spans="1:30" x14ac:dyDescent="0.25">
      <c r="H60" s="32">
        <f>[1]!h_pt(H58,H59)</f>
        <v>443.14699569149485</v>
      </c>
      <c r="W60" s="43">
        <f>T68</f>
        <v>104.76852342482843</v>
      </c>
      <c r="AD60" s="46" t="s">
        <v>56</v>
      </c>
    </row>
    <row r="61" spans="1:30" x14ac:dyDescent="0.25">
      <c r="W61" s="27">
        <f>T70</f>
        <v>439.23487109047136</v>
      </c>
      <c r="AD61" s="86">
        <f>0.9*AD53</f>
        <v>450</v>
      </c>
    </row>
    <row r="62" spans="1:30" x14ac:dyDescent="0.25">
      <c r="AD62" s="77">
        <v>4</v>
      </c>
    </row>
    <row r="63" spans="1:30" x14ac:dyDescent="0.25">
      <c r="AD63" s="78">
        <v>90</v>
      </c>
    </row>
    <row r="64" spans="1:30" x14ac:dyDescent="0.25">
      <c r="AD64" s="66">
        <f>[1]!h_pt(AD62,AD63)</f>
        <v>377.22363852334036</v>
      </c>
    </row>
    <row r="66" spans="16:31" x14ac:dyDescent="0.25">
      <c r="AD66" s="46" t="s">
        <v>5</v>
      </c>
    </row>
    <row r="67" spans="16:31" x14ac:dyDescent="0.25">
      <c r="P67" s="35">
        <f>H15</f>
        <v>581.34922737485579</v>
      </c>
      <c r="W67" s="128">
        <f>AD67</f>
        <v>118.2340812558927</v>
      </c>
      <c r="AD67" s="86">
        <v>118.2340812558927</v>
      </c>
      <c r="AE67" s="125">
        <f>P67+P52+W58-M28-I50-Y46-AD61-T41</f>
        <v>118.2340812558927</v>
      </c>
    </row>
    <row r="68" spans="16:31" x14ac:dyDescent="0.25">
      <c r="P68" s="25">
        <f>T69</f>
        <v>1.199365413994592</v>
      </c>
      <c r="S68" s="3" t="s">
        <v>43</v>
      </c>
      <c r="T68" s="83">
        <v>104.76852342482843</v>
      </c>
      <c r="W68" s="129">
        <f>AD68-1</f>
        <v>3</v>
      </c>
      <c r="AD68" s="77">
        <v>4</v>
      </c>
    </row>
    <row r="69" spans="16:31" x14ac:dyDescent="0.25">
      <c r="P69" s="26">
        <f>T68</f>
        <v>104.76852342482843</v>
      </c>
      <c r="S69" s="4" t="s">
        <v>42</v>
      </c>
      <c r="T69" s="84">
        <f>[1]!psat_t(T68)</f>
        <v>1.199365413994592</v>
      </c>
      <c r="W69" s="31">
        <f>[1]!T_ph(W68,W70)</f>
        <v>48.103949729787473</v>
      </c>
      <c r="Z69" s="35">
        <f>K28</f>
        <v>21.534184343588958</v>
      </c>
      <c r="AD69" s="78">
        <v>30</v>
      </c>
    </row>
    <row r="70" spans="16:31" x14ac:dyDescent="0.25">
      <c r="P70" s="45">
        <f>T70</f>
        <v>439.23487109047136</v>
      </c>
      <c r="S70" s="6" t="s">
        <v>60</v>
      </c>
      <c r="T70" s="85">
        <f>[1]!hL_T(T68)</f>
        <v>439.23487109047136</v>
      </c>
      <c r="W70" s="130">
        <f>AD70+(K28*(K31-Z72)/AD67)</f>
        <v>201.61630877106256</v>
      </c>
      <c r="Z70" s="129">
        <f>K29-0.5</f>
        <v>2.5</v>
      </c>
      <c r="AD70" s="66">
        <f>[1]!h_pt(AD68,AD69)</f>
        <v>126.10612108612105</v>
      </c>
    </row>
    <row r="71" spans="16:31" x14ac:dyDescent="0.25">
      <c r="R71" s="151" t="s">
        <v>81</v>
      </c>
      <c r="Z71" s="131">
        <f>AD69+5</f>
        <v>35</v>
      </c>
    </row>
    <row r="72" spans="16:31" x14ac:dyDescent="0.25">
      <c r="R72" s="147">
        <f>W67+Y46+AD61+T41+I50+M28-P67-P52-W58</f>
        <v>4.4408920985006262E-14</v>
      </c>
      <c r="Z72" s="130">
        <f>[1]!h_pt(Z70,Z71)</f>
        <v>146.86447317120655</v>
      </c>
    </row>
    <row r="73" spans="16:31" x14ac:dyDescent="0.25">
      <c r="R73" s="148">
        <f>W67*W70+Y46*Y49+T41*T44+I50*I53+M28*M31+AD61*AD64-P67*P70-P52*P55-W58*W61</f>
        <v>0</v>
      </c>
      <c r="T73" s="88"/>
    </row>
    <row r="75" spans="16:31" x14ac:dyDescent="0.25">
      <c r="Z75" s="1" t="s">
        <v>58</v>
      </c>
    </row>
    <row r="81" spans="4:31" x14ac:dyDescent="0.25">
      <c r="L81" s="36">
        <f>G84*J92</f>
        <v>116.99765381617839</v>
      </c>
    </row>
    <row r="82" spans="4:31" x14ac:dyDescent="0.25">
      <c r="D82" s="2"/>
      <c r="I82" s="128"/>
      <c r="L82" s="25">
        <f>J88</f>
        <v>45</v>
      </c>
    </row>
    <row r="83" spans="4:31" x14ac:dyDescent="0.25">
      <c r="D83" s="89"/>
      <c r="L83" s="26">
        <f>J89</f>
        <v>440</v>
      </c>
    </row>
    <row r="84" spans="4:31" x14ac:dyDescent="0.25">
      <c r="D84" s="90"/>
      <c r="G84" s="36">
        <f>E9</f>
        <v>59.610677946604369</v>
      </c>
      <c r="L84" s="32">
        <f>[1]!h_pt(L82,L83)</f>
        <v>3300.6099676752069</v>
      </c>
    </row>
    <row r="85" spans="4:31" x14ac:dyDescent="0.25">
      <c r="D85" s="91"/>
    </row>
    <row r="86" spans="4:31" x14ac:dyDescent="0.25">
      <c r="O86" s="184">
        <f>P101/P98/(O89-O106)*1000*3.6</f>
        <v>0</v>
      </c>
      <c r="P86" s="177"/>
      <c r="Q86" s="177"/>
      <c r="R86" s="184">
        <v>0</v>
      </c>
      <c r="T86" s="36"/>
      <c r="U86" s="36">
        <f>L81-O86-R86-AD88</f>
        <v>116.99765381617839</v>
      </c>
      <c r="W86" s="24"/>
      <c r="Y86" s="14"/>
    </row>
    <row r="87" spans="4:31" x14ac:dyDescent="0.25">
      <c r="D87" s="16"/>
      <c r="L87" s="28"/>
      <c r="O87" s="185">
        <f>J88-3</f>
        <v>42</v>
      </c>
      <c r="P87" s="177"/>
      <c r="Q87" s="177"/>
      <c r="R87" s="185">
        <f>J88-3</f>
        <v>42</v>
      </c>
      <c r="T87" s="29"/>
      <c r="U87" s="29">
        <f>J88-3</f>
        <v>42</v>
      </c>
      <c r="W87" s="24"/>
      <c r="Y87" s="14"/>
      <c r="AD87" s="46" t="s">
        <v>54</v>
      </c>
    </row>
    <row r="88" spans="4:31" x14ac:dyDescent="0.25">
      <c r="D88" s="16"/>
      <c r="I88" s="49" t="s">
        <v>42</v>
      </c>
      <c r="J88" s="50">
        <v>45</v>
      </c>
      <c r="O88" s="186">
        <f>L83-5</f>
        <v>435</v>
      </c>
      <c r="P88" s="177"/>
      <c r="Q88" s="177"/>
      <c r="R88" s="186">
        <f>J89-5</f>
        <v>435</v>
      </c>
      <c r="T88" s="31"/>
      <c r="U88" s="31">
        <f>J89-5</f>
        <v>435</v>
      </c>
      <c r="W88" s="24"/>
      <c r="Y88" s="14"/>
      <c r="AD88" s="86">
        <v>0</v>
      </c>
    </row>
    <row r="89" spans="4:31" x14ac:dyDescent="0.25">
      <c r="E89" s="39"/>
      <c r="I89" s="4" t="s">
        <v>43</v>
      </c>
      <c r="J89" s="51">
        <v>440</v>
      </c>
      <c r="O89" s="187">
        <f>[1]!h_pt(O87,O88)</f>
        <v>3293.3171514984806</v>
      </c>
      <c r="P89" s="177"/>
      <c r="Q89" s="177"/>
      <c r="R89" s="187">
        <f>[1]!h_pt(R87,R88)</f>
        <v>3293.3171514984806</v>
      </c>
      <c r="T89" s="32"/>
      <c r="U89" s="32">
        <f>[1]!h_pt(R87,R88)</f>
        <v>3293.3171514984806</v>
      </c>
      <c r="W89" s="14"/>
      <c r="Y89" s="14"/>
    </row>
    <row r="90" spans="4:31" x14ac:dyDescent="0.25">
      <c r="E90" s="79"/>
      <c r="I90" s="4" t="s">
        <v>44</v>
      </c>
      <c r="J90" s="52">
        <v>0.05</v>
      </c>
      <c r="O90" s="188">
        <f>[1]!s_pT(O87,O88)</f>
        <v>6.864141929643508</v>
      </c>
      <c r="P90" s="177"/>
      <c r="Q90" s="177"/>
      <c r="R90" s="188">
        <f>[1]!s_pT(O87,O88)</f>
        <v>6.864141929643508</v>
      </c>
      <c r="T90" s="34"/>
      <c r="U90" s="34">
        <f>[1]!s_pT(O87,O88)</f>
        <v>6.864141929643508</v>
      </c>
      <c r="W90" s="14"/>
      <c r="Y90" s="14"/>
    </row>
    <row r="91" spans="4:31" x14ac:dyDescent="0.25">
      <c r="I91" s="4" t="s">
        <v>45</v>
      </c>
      <c r="J91" s="52">
        <v>0.8</v>
      </c>
      <c r="T91" s="14"/>
      <c r="U91" s="14"/>
      <c r="V91" s="14"/>
      <c r="W91" s="14"/>
    </row>
    <row r="92" spans="4:31" x14ac:dyDescent="0.25">
      <c r="I92" s="6" t="s">
        <v>0</v>
      </c>
      <c r="J92" s="53">
        <f>((J91*D5*(1-J90))/(J90*(L98-H98)+(L84-H98)*(1-J90)))</f>
        <v>1.9626962458131711</v>
      </c>
      <c r="T92" s="14"/>
      <c r="U92" s="14"/>
      <c r="V92" s="14"/>
      <c r="W92" s="14"/>
    </row>
    <row r="93" spans="4:31" x14ac:dyDescent="0.25">
      <c r="T93" s="14"/>
      <c r="U93" s="15"/>
      <c r="V93" s="19"/>
      <c r="W93" s="14"/>
    </row>
    <row r="94" spans="4:31" x14ac:dyDescent="0.25">
      <c r="U94" s="15"/>
      <c r="V94" s="19"/>
    </row>
    <row r="95" spans="4:31" x14ac:dyDescent="0.25">
      <c r="H95" s="36">
        <f>L81/(1-J90)</f>
        <v>123.15542506966146</v>
      </c>
      <c r="L95" s="36">
        <f>J90*H95</f>
        <v>6.1577712534830731</v>
      </c>
      <c r="O95" s="177"/>
      <c r="P95" s="177"/>
      <c r="Q95" s="177"/>
      <c r="U95" s="15"/>
      <c r="V95" s="19"/>
      <c r="AD95" s="22">
        <f>B37</f>
        <v>4.5</v>
      </c>
      <c r="AE95" s="133" t="s">
        <v>16</v>
      </c>
    </row>
    <row r="96" spans="4:31" x14ac:dyDescent="0.25">
      <c r="H96" s="21">
        <f>1.2*J88</f>
        <v>54</v>
      </c>
      <c r="L96" s="25">
        <f>J88</f>
        <v>45</v>
      </c>
      <c r="O96" s="189"/>
      <c r="P96" s="190" t="s">
        <v>64</v>
      </c>
      <c r="Q96" s="177"/>
      <c r="U96" s="15"/>
      <c r="V96" s="19"/>
      <c r="Z96" s="49" t="s">
        <v>51</v>
      </c>
      <c r="AA96" s="153">
        <v>0.81</v>
      </c>
      <c r="AD96" s="14"/>
    </row>
    <row r="97" spans="8:31" x14ac:dyDescent="0.25">
      <c r="H97" s="37">
        <f>H139</f>
        <v>104.76852342482843</v>
      </c>
      <c r="L97" s="31">
        <f>[1]!Tsat_p(L96)</f>
        <v>257.43937131084681</v>
      </c>
      <c r="O97" s="189"/>
      <c r="P97" s="191" t="s">
        <v>49</v>
      </c>
      <c r="Q97" s="177"/>
      <c r="Z97" s="154" t="s">
        <v>52</v>
      </c>
      <c r="AA97" s="155">
        <v>0.81</v>
      </c>
      <c r="AB97" s="19"/>
      <c r="AC97" s="19"/>
      <c r="AD97" s="22">
        <f>B38</f>
        <v>21</v>
      </c>
      <c r="AE97" s="133" t="s">
        <v>17</v>
      </c>
    </row>
    <row r="98" spans="8:31" x14ac:dyDescent="0.25">
      <c r="H98" s="32">
        <f>[1]!h_pt(H96,H97)</f>
        <v>443.14699569149485</v>
      </c>
      <c r="L98" s="32">
        <f>[1]!hL_T(L97)</f>
        <v>1122.1429927816589</v>
      </c>
      <c r="O98" s="177"/>
      <c r="P98" s="181">
        <v>0.72</v>
      </c>
      <c r="Q98" s="177"/>
      <c r="Z98" s="4" t="s">
        <v>99</v>
      </c>
      <c r="AA98" s="155">
        <v>0.81</v>
      </c>
      <c r="AB98" s="19"/>
      <c r="AC98" s="19"/>
      <c r="AD98" s="14"/>
    </row>
    <row r="99" spans="8:31" x14ac:dyDescent="0.25">
      <c r="K99" s="12"/>
      <c r="L99" s="27"/>
      <c r="O99" s="177"/>
      <c r="P99" s="192">
        <v>0.95</v>
      </c>
      <c r="Q99" s="177"/>
      <c r="Z99" s="154" t="s">
        <v>50</v>
      </c>
      <c r="AA99" s="155">
        <v>0.98</v>
      </c>
      <c r="AB99" s="19"/>
      <c r="AC99" s="19"/>
      <c r="AD99" s="14"/>
    </row>
    <row r="100" spans="8:31" x14ac:dyDescent="0.25">
      <c r="O100" s="177"/>
      <c r="P100" s="177"/>
      <c r="Q100" s="177"/>
      <c r="Z100" s="156" t="s">
        <v>53</v>
      </c>
      <c r="AA100" s="157">
        <v>0.95</v>
      </c>
      <c r="AB100" s="19"/>
      <c r="AC100" s="19"/>
      <c r="AD100" s="22">
        <f>B39</f>
        <v>4</v>
      </c>
      <c r="AE100" s="133" t="s">
        <v>39</v>
      </c>
    </row>
    <row r="101" spans="8:31" x14ac:dyDescent="0.25">
      <c r="M101" s="11"/>
      <c r="P101" s="197">
        <v>0</v>
      </c>
      <c r="R101" s="184">
        <f>R86</f>
        <v>0</v>
      </c>
      <c r="T101" s="38"/>
      <c r="U101" s="178">
        <v>0</v>
      </c>
      <c r="V101" s="54"/>
      <c r="Z101" s="55">
        <f>(U86*(U89-U104)+(U86-U101)*(U104-W105)+Y103*(W105-Y106))/3600*AA99*AA100</f>
        <v>28.050233286182074</v>
      </c>
      <c r="AD101" s="14"/>
    </row>
    <row r="102" spans="8:31" x14ac:dyDescent="0.25">
      <c r="R102" s="185">
        <v>5</v>
      </c>
      <c r="T102" s="17"/>
      <c r="U102" s="17">
        <v>14</v>
      </c>
      <c r="W102" s="42">
        <v>10.553474500563578</v>
      </c>
      <c r="AD102" s="22">
        <f>Z101-AD95-AD97-AD100</f>
        <v>-1.449766713817926</v>
      </c>
      <c r="AE102" s="133" t="s">
        <v>57</v>
      </c>
    </row>
    <row r="103" spans="8:31" x14ac:dyDescent="0.25">
      <c r="O103" s="193">
        <f>O86</f>
        <v>0</v>
      </c>
      <c r="R103" s="186">
        <f>[1]!T_ph(R102,R104)</f>
        <v>410.02015945109861</v>
      </c>
      <c r="T103" s="40"/>
      <c r="U103" s="40">
        <f>[1]!T_ph(U102,U104)</f>
        <v>302.92526410979463</v>
      </c>
      <c r="W103" s="21">
        <v>3</v>
      </c>
      <c r="Y103" s="36">
        <f>U86-U101-W102</f>
        <v>106.4441793156148</v>
      </c>
    </row>
    <row r="104" spans="8:31" x14ac:dyDescent="0.25">
      <c r="L104" s="58">
        <v>3</v>
      </c>
      <c r="O104" s="194">
        <v>3</v>
      </c>
      <c r="R104" s="187">
        <f>R89</f>
        <v>3293.3171514984806</v>
      </c>
      <c r="T104" s="41"/>
      <c r="U104" s="41">
        <f>U89-AA96*(U89-[1]!h_ps(U102,U90))</f>
        <v>3047.456943990373</v>
      </c>
      <c r="W104" s="31">
        <f>[1]!T_ph(W103,W105)</f>
        <v>157.81324490439721</v>
      </c>
      <c r="Y104" s="25">
        <f>Z122</f>
        <v>7.4999999999999997E-2</v>
      </c>
    </row>
    <row r="105" spans="8:31" x14ac:dyDescent="0.25">
      <c r="L105" s="60">
        <f>[1]!x_ph(L104,L98)</f>
        <v>0.25916528896653551</v>
      </c>
      <c r="O105" s="195">
        <f>[1]!T_ph(O104,O106)</f>
        <v>190.67407115516153</v>
      </c>
      <c r="T105" s="33"/>
      <c r="U105" s="33">
        <f>[1]!s_pT(U102,U103)</f>
        <v>6.9665697248614684</v>
      </c>
      <c r="W105" s="32">
        <f>U104-AA97*(U104-[1]!h_ps(W103,U105))</f>
        <v>2777.9451277757826</v>
      </c>
      <c r="Y105" s="31">
        <f>[1]!T_ph(Y104,Y106)</f>
        <v>40.29159033149449</v>
      </c>
    </row>
    <row r="106" spans="8:31" x14ac:dyDescent="0.25">
      <c r="O106" s="196">
        <f>O89-P98*(O89-[1]!h_ps(O104,O90))</f>
        <v>2846.740185935354</v>
      </c>
      <c r="W106" s="34">
        <f>[1]!s_pT(W103,W104)</f>
        <v>7.1183002305953886</v>
      </c>
      <c r="Y106" s="32">
        <f>W105-AA98*(W105-[1]!h_ps(Y104,W106))</f>
        <v>2325.4299977726296</v>
      </c>
    </row>
    <row r="107" spans="8:31" x14ac:dyDescent="0.25">
      <c r="K107" s="14"/>
      <c r="O107" s="177"/>
      <c r="Y107" s="34">
        <f>[1]!s_ph(Y104,Y106)</f>
        <v>7.4569462373709436</v>
      </c>
      <c r="AD107" s="1" t="s">
        <v>55</v>
      </c>
    </row>
    <row r="108" spans="8:31" x14ac:dyDescent="0.25">
      <c r="K108" s="62">
        <f>L95-M108</f>
        <v>4.5618906871843068</v>
      </c>
      <c r="M108" s="36">
        <f>L105*L95</f>
        <v>1.5958805662987663</v>
      </c>
      <c r="S108" s="173">
        <f>U101</f>
        <v>0</v>
      </c>
      <c r="AD108" s="35">
        <f>S108-AD113-I122</f>
        <v>0</v>
      </c>
    </row>
    <row r="109" spans="8:31" x14ac:dyDescent="0.25">
      <c r="K109" s="57">
        <f>L104</f>
        <v>3</v>
      </c>
      <c r="M109" s="59">
        <f>L104</f>
        <v>3</v>
      </c>
      <c r="S109" s="174">
        <f>U102</f>
        <v>14</v>
      </c>
    </row>
    <row r="110" spans="8:31" x14ac:dyDescent="0.25">
      <c r="K110" s="63">
        <f>[1]!T_ph(K109,K111)</f>
        <v>133.54199141940632</v>
      </c>
      <c r="M110" s="31">
        <f>[1]!T_ph(M109,M111)</f>
        <v>133.51815045080383</v>
      </c>
      <c r="S110" s="175">
        <f>U103</f>
        <v>302.92526410979463</v>
      </c>
    </row>
    <row r="111" spans="8:31" x14ac:dyDescent="0.25">
      <c r="K111" s="41">
        <f>[1]!hL_p(K109)</f>
        <v>561.45541025710759</v>
      </c>
      <c r="M111" s="32">
        <f>[1]!hV_p(M109)</f>
        <v>2724.8916665566508</v>
      </c>
      <c r="S111" s="176">
        <f>U104</f>
        <v>3047.456943990373</v>
      </c>
    </row>
    <row r="112" spans="8:31" x14ac:dyDescent="0.25">
      <c r="N112" s="14"/>
      <c r="AD112" s="46" t="s">
        <v>63</v>
      </c>
    </row>
    <row r="113" spans="5:30" x14ac:dyDescent="0.25">
      <c r="K113" s="208"/>
      <c r="L113" s="208"/>
      <c r="N113" s="14"/>
      <c r="R113" s="184">
        <f>R101+P132</f>
        <v>0</v>
      </c>
      <c r="AD113" s="86">
        <f>B108</f>
        <v>0</v>
      </c>
    </row>
    <row r="114" spans="5:30" x14ac:dyDescent="0.25">
      <c r="R114" s="185">
        <f>O104</f>
        <v>3</v>
      </c>
    </row>
    <row r="115" spans="5:30" x14ac:dyDescent="0.25">
      <c r="R115" s="186">
        <f>O105</f>
        <v>190.67407115516153</v>
      </c>
    </row>
    <row r="116" spans="5:30" x14ac:dyDescent="0.25">
      <c r="E116" s="27"/>
      <c r="R116" s="187">
        <f>O106</f>
        <v>2846.740185935354</v>
      </c>
      <c r="U116" s="2"/>
      <c r="V116" s="2"/>
      <c r="AD116" s="1" t="s">
        <v>55</v>
      </c>
    </row>
    <row r="117" spans="5:30" x14ac:dyDescent="0.25">
      <c r="N117" s="71">
        <f>O103+R113+W102</f>
        <v>10.553474500563578</v>
      </c>
      <c r="AD117" s="67">
        <f>N117-AB125-T121-AD121</f>
        <v>5.6562560710737841E-4</v>
      </c>
    </row>
    <row r="118" spans="5:30" x14ac:dyDescent="0.25">
      <c r="N118" s="75">
        <f>W103</f>
        <v>3</v>
      </c>
      <c r="AA118" s="1"/>
      <c r="AB118" s="1"/>
      <c r="AC118" s="1"/>
    </row>
    <row r="119" spans="5:30" x14ac:dyDescent="0.25">
      <c r="N119" s="73">
        <f>[1]!T_ph(N118,N120)</f>
        <v>157.81324490439721</v>
      </c>
    </row>
    <row r="120" spans="5:30" x14ac:dyDescent="0.25">
      <c r="N120" s="74">
        <f>(O103*O106+R113*R116+W102*W105)/(N117)</f>
        <v>2777.9451277757826</v>
      </c>
      <c r="AD120" s="46" t="s">
        <v>59</v>
      </c>
    </row>
    <row r="121" spans="5:30" x14ac:dyDescent="0.25">
      <c r="T121" s="36">
        <f>(W138*(W141-W150)+P132*(P135-W150)+P147*(P150-W150)+Y126*(W150-Y129)+AD141*(W150-AD144)+I130*(W150-I133)+M108*(W150-M111))/(T124-W150)</f>
        <v>10.55290887495647</v>
      </c>
      <c r="AD121" s="86">
        <v>0</v>
      </c>
    </row>
    <row r="122" spans="5:30" x14ac:dyDescent="0.25">
      <c r="I122" s="184">
        <f>(H95*(H98-H140)/(I125-I133))</f>
        <v>0</v>
      </c>
      <c r="J122" s="76"/>
      <c r="T122" s="25">
        <f>N118</f>
        <v>3</v>
      </c>
      <c r="Y122" s="15" t="s">
        <v>42</v>
      </c>
      <c r="Z122" s="21">
        <v>7.4999999999999997E-2</v>
      </c>
    </row>
    <row r="123" spans="5:30" x14ac:dyDescent="0.25">
      <c r="I123" s="185">
        <f>S109</f>
        <v>14</v>
      </c>
      <c r="T123" s="26">
        <f>N119</f>
        <v>157.81324490439721</v>
      </c>
    </row>
    <row r="124" spans="5:30" x14ac:dyDescent="0.25">
      <c r="I124" s="186">
        <f>S110</f>
        <v>302.92526410979463</v>
      </c>
      <c r="T124" s="45">
        <f>N120</f>
        <v>2777.9451277757826</v>
      </c>
    </row>
    <row r="125" spans="5:30" x14ac:dyDescent="0.25">
      <c r="I125" s="187">
        <f>S111</f>
        <v>3047.456943990373</v>
      </c>
      <c r="AB125" s="184">
        <f>AD133-W138</f>
        <v>0</v>
      </c>
    </row>
    <row r="126" spans="5:30" x14ac:dyDescent="0.25">
      <c r="Y126" s="35">
        <f>Y103</f>
        <v>106.4441793156148</v>
      </c>
      <c r="AB126" s="185">
        <f>N118</f>
        <v>3</v>
      </c>
    </row>
    <row r="127" spans="5:30" x14ac:dyDescent="0.25">
      <c r="Y127" s="21">
        <v>4</v>
      </c>
      <c r="AB127" s="186">
        <f>N119</f>
        <v>157.81324490439721</v>
      </c>
    </row>
    <row r="128" spans="5:30" x14ac:dyDescent="0.25">
      <c r="Y128" s="31">
        <f>[1]!T_ph(Y127,Y129)</f>
        <v>40.223711016855475</v>
      </c>
      <c r="AB128" s="187">
        <f>N120</f>
        <v>2777.9451277757826</v>
      </c>
      <c r="AC128" s="21"/>
    </row>
    <row r="129" spans="8:31" x14ac:dyDescent="0.25">
      <c r="Y129" s="32">
        <f>[1]!hL_p(Z122)</f>
        <v>168.75964207693656</v>
      </c>
    </row>
    <row r="130" spans="8:31" x14ac:dyDescent="0.25">
      <c r="I130" s="184">
        <f>I122</f>
        <v>0</v>
      </c>
      <c r="AD130" s="35"/>
    </row>
    <row r="131" spans="8:31" x14ac:dyDescent="0.25">
      <c r="I131" s="185">
        <f>I123</f>
        <v>14</v>
      </c>
      <c r="AD131" s="177"/>
      <c r="AE131" s="177"/>
    </row>
    <row r="132" spans="8:31" x14ac:dyDescent="0.25">
      <c r="I132" s="187">
        <f>[1]!T_ph(I131,I133)</f>
        <v>195.05824323172402</v>
      </c>
      <c r="P132" s="198">
        <f>(R101*(R116-R104)/(P135-R116))</f>
        <v>0</v>
      </c>
      <c r="AD132" s="202" t="s">
        <v>4</v>
      </c>
      <c r="AE132" s="177"/>
    </row>
    <row r="133" spans="8:31" x14ac:dyDescent="0.25">
      <c r="I133" s="187">
        <f>[1]!hL_p(I131)</f>
        <v>830.13214164679118</v>
      </c>
      <c r="P133" s="199">
        <f>R102*1.1</f>
        <v>5.5</v>
      </c>
      <c r="AD133" s="203">
        <v>0</v>
      </c>
      <c r="AE133" s="177"/>
    </row>
    <row r="134" spans="8:31" x14ac:dyDescent="0.25">
      <c r="P134" s="200">
        <f>T148</f>
        <v>104.76852342482843</v>
      </c>
      <c r="AD134" s="204">
        <f>B26</f>
        <v>2.2999999999999998</v>
      </c>
      <c r="AE134" s="177"/>
    </row>
    <row r="135" spans="8:31" x14ac:dyDescent="0.25">
      <c r="P135" s="201">
        <f>T150</f>
        <v>439.23487109047136</v>
      </c>
      <c r="AD135" s="205">
        <f>B27</f>
        <v>125.68750868940305</v>
      </c>
      <c r="AE135" s="177"/>
    </row>
    <row r="136" spans="8:31" x14ac:dyDescent="0.25">
      <c r="AD136" s="206">
        <f>[1]!h_pt(AD134,AD135)</f>
        <v>2714.8610157432636</v>
      </c>
      <c r="AE136" s="177"/>
    </row>
    <row r="137" spans="8:31" x14ac:dyDescent="0.25">
      <c r="H137" s="35">
        <f>H95</f>
        <v>123.15542506966146</v>
      </c>
      <c r="AD137" s="177"/>
      <c r="AE137" s="177"/>
    </row>
    <row r="138" spans="8:31" x14ac:dyDescent="0.25">
      <c r="H138" s="25">
        <f>H96</f>
        <v>54</v>
      </c>
      <c r="W138" s="193">
        <f>AD133*(AD136-N120)/(W141-N120)</f>
        <v>0</v>
      </c>
    </row>
    <row r="139" spans="8:31" x14ac:dyDescent="0.25">
      <c r="H139" s="26">
        <f>T148</f>
        <v>104.76852342482843</v>
      </c>
      <c r="W139" s="199">
        <f>P133</f>
        <v>5.5</v>
      </c>
    </row>
    <row r="140" spans="8:31" x14ac:dyDescent="0.25">
      <c r="H140" s="32">
        <f>[1]!h_pt(H138,H139)</f>
        <v>443.14699569149485</v>
      </c>
      <c r="W140" s="200">
        <f>T148</f>
        <v>104.76852342482843</v>
      </c>
      <c r="AD140" s="203" t="s">
        <v>56</v>
      </c>
    </row>
    <row r="141" spans="8:31" x14ac:dyDescent="0.25">
      <c r="W141" s="201">
        <f>T150</f>
        <v>439.23487109047136</v>
      </c>
      <c r="AD141" s="203">
        <f>0.9*AD133</f>
        <v>0</v>
      </c>
    </row>
    <row r="142" spans="8:31" x14ac:dyDescent="0.25">
      <c r="AD142" s="203">
        <v>4</v>
      </c>
    </row>
    <row r="143" spans="8:31" x14ac:dyDescent="0.25">
      <c r="AD143" s="203">
        <v>90</v>
      </c>
    </row>
    <row r="144" spans="8:31" x14ac:dyDescent="0.25">
      <c r="AD144" s="203">
        <f>[1]!h_pt(AD142,AD143)</f>
        <v>377.22363852334036</v>
      </c>
    </row>
    <row r="146" spans="16:31" x14ac:dyDescent="0.25">
      <c r="AD146" s="46" t="s">
        <v>5</v>
      </c>
    </row>
    <row r="147" spans="16:31" x14ac:dyDescent="0.25">
      <c r="P147" s="35">
        <f>H95</f>
        <v>123.15542506966146</v>
      </c>
      <c r="W147" s="35">
        <f>AD147</f>
        <v>4.5624563127914239</v>
      </c>
      <c r="AD147" s="86">
        <v>4.5624563127914239</v>
      </c>
      <c r="AE147" s="125">
        <f>P147+P132+W138-M108-I130-Y126-AD141-T121</f>
        <v>4.5624563127914275</v>
      </c>
    </row>
    <row r="148" spans="16:31" x14ac:dyDescent="0.25">
      <c r="P148" s="25">
        <f>T149</f>
        <v>1.199365413994592</v>
      </c>
      <c r="S148" s="3" t="s">
        <v>43</v>
      </c>
      <c r="T148" s="83">
        <v>104.76852342482843</v>
      </c>
      <c r="W148" s="129">
        <f>AD148-1</f>
        <v>3</v>
      </c>
      <c r="AD148" s="77">
        <v>4</v>
      </c>
    </row>
    <row r="149" spans="16:31" x14ac:dyDescent="0.25">
      <c r="P149" s="26">
        <f>T148</f>
        <v>104.76852342482843</v>
      </c>
      <c r="S149" s="4" t="s">
        <v>42</v>
      </c>
      <c r="T149" s="84">
        <f>[1]!psat_t(T148)</f>
        <v>1.199365413994592</v>
      </c>
      <c r="W149" s="31">
        <f>[1]!T_ph(W148,W150)</f>
        <v>128.66278340252916</v>
      </c>
      <c r="Z149" s="35">
        <f>K108</f>
        <v>4.5618906871843068</v>
      </c>
      <c r="AD149" s="78">
        <v>30</v>
      </c>
    </row>
    <row r="150" spans="16:31" x14ac:dyDescent="0.25">
      <c r="P150" s="45">
        <f>T150</f>
        <v>439.23487109047136</v>
      </c>
      <c r="S150" s="6" t="s">
        <v>60</v>
      </c>
      <c r="T150" s="85">
        <f>[1]!hL_T(T148)</f>
        <v>439.23487109047136</v>
      </c>
      <c r="W150" s="130">
        <f>AD150+(K108*(K111-Z152)/AD147)</f>
        <v>540.64565970715626</v>
      </c>
      <c r="Z150" s="129">
        <f>K109-0.5</f>
        <v>2.5</v>
      </c>
      <c r="AD150" s="66">
        <f>[1]!h_pt(AD148,AD149)</f>
        <v>126.10612108612105</v>
      </c>
    </row>
    <row r="151" spans="16:31" x14ac:dyDescent="0.25">
      <c r="R151" s="151" t="s">
        <v>81</v>
      </c>
      <c r="Z151" s="131">
        <f>AD149+5</f>
        <v>35</v>
      </c>
    </row>
    <row r="152" spans="16:31" x14ac:dyDescent="0.25">
      <c r="R152" s="147">
        <f>W147+Y126+AD141+T121+I130+M108-P147-P132-W138</f>
        <v>0</v>
      </c>
      <c r="Z152" s="130">
        <f>[1]!h_pt(Z150,Z151)</f>
        <v>146.86447317120655</v>
      </c>
    </row>
    <row r="153" spans="16:31" x14ac:dyDescent="0.25">
      <c r="R153" s="148">
        <f>W147*W150+Y126*Y129+T121*T124+I130*I133+M108*M111+AD141*AD144-P147*P150-P132*P135-W138*W141</f>
        <v>7.2759576141834259E-12</v>
      </c>
      <c r="T153" s="88"/>
    </row>
    <row r="155" spans="16:31" x14ac:dyDescent="0.25">
      <c r="Z155" s="1" t="s">
        <v>58</v>
      </c>
    </row>
  </sheetData>
  <mergeCells count="2">
    <mergeCell ref="K33:L33"/>
    <mergeCell ref="K113:L113"/>
  </mergeCells>
  <conditionalFormatting sqref="AD22">
    <cfRule type="cellIs" dxfId="38" priority="49" operator="lessThanOrEqual">
      <formula>0</formula>
    </cfRule>
    <cfRule type="cellIs" dxfId="37" priority="50" operator="greaterThan">
      <formula>0</formula>
    </cfRule>
  </conditionalFormatting>
  <conditionalFormatting sqref="AD37">
    <cfRule type="cellIs" dxfId="36" priority="46" operator="lessThanOrEqual">
      <formula>-0.01</formula>
    </cfRule>
    <cfRule type="cellIs" dxfId="35" priority="47" operator="greaterThanOrEqual">
      <formula>0.01</formula>
    </cfRule>
    <cfRule type="cellIs" dxfId="34" priority="48" operator="between">
      <formula>0.01</formula>
      <formula>-0.01</formula>
    </cfRule>
  </conditionalFormatting>
  <conditionalFormatting sqref="AD28">
    <cfRule type="cellIs" dxfId="33" priority="43" operator="between">
      <formula>-0.01</formula>
      <formula>0.01</formula>
    </cfRule>
    <cfRule type="cellIs" dxfId="32" priority="44" operator="lessThanOrEqual">
      <formula>-0.01</formula>
    </cfRule>
    <cfRule type="cellIs" dxfId="31" priority="45" operator="greaterThanOrEqual">
      <formula>0.01</formula>
    </cfRule>
  </conditionalFormatting>
  <conditionalFormatting sqref="R72:R73">
    <cfRule type="cellIs" dxfId="30" priority="32" operator="between">
      <formula>0.01</formula>
      <formula>-0.01</formula>
    </cfRule>
    <cfRule type="cellIs" dxfId="29" priority="33" operator="greaterThanOrEqual">
      <formula>0.01</formula>
    </cfRule>
    <cfRule type="cellIs" dxfId="28" priority="34" operator="lessThanOrEqual">
      <formula>-0.01</formula>
    </cfRule>
  </conditionalFormatting>
  <conditionalFormatting sqref="AD102">
    <cfRule type="cellIs" dxfId="27" priority="27" operator="lessThanOrEqual">
      <formula>0</formula>
    </cfRule>
    <cfRule type="cellIs" dxfId="26" priority="28" operator="greaterThan">
      <formula>0</formula>
    </cfRule>
  </conditionalFormatting>
  <conditionalFormatting sqref="AD117">
    <cfRule type="cellIs" dxfId="25" priority="24" operator="lessThanOrEqual">
      <formula>-0.01</formula>
    </cfRule>
    <cfRule type="cellIs" dxfId="24" priority="25" operator="greaterThanOrEqual">
      <formula>0.01</formula>
    </cfRule>
    <cfRule type="cellIs" dxfId="23" priority="26" operator="between">
      <formula>0.01</formula>
      <formula>-0.01</formula>
    </cfRule>
  </conditionalFormatting>
  <conditionalFormatting sqref="AD108">
    <cfRule type="cellIs" dxfId="22" priority="21" operator="between">
      <formula>-0.01</formula>
      <formula>0.01</formula>
    </cfRule>
    <cfRule type="cellIs" dxfId="21" priority="22" operator="lessThanOrEqual">
      <formula>-0.01</formula>
    </cfRule>
    <cfRule type="cellIs" dxfId="20" priority="23" operator="greaterThanOrEqual">
      <formula>0.01</formula>
    </cfRule>
  </conditionalFormatting>
  <conditionalFormatting sqref="R152:R153">
    <cfRule type="cellIs" dxfId="19" priority="18" operator="between">
      <formula>0.01</formula>
      <formula>-0.01</formula>
    </cfRule>
    <cfRule type="cellIs" dxfId="18" priority="19" operator="greaterThanOrEqual">
      <formula>0.01</formula>
    </cfRule>
    <cfRule type="cellIs" dxfId="17" priority="20" operator="lessThanOrEqual">
      <formula>-0.01</formula>
    </cfRule>
  </conditionalFormatting>
  <conditionalFormatting sqref="Y23">
    <cfRule type="cellIs" dxfId="16" priority="17" operator="lessThan">
      <formula>0</formula>
    </cfRule>
  </conditionalFormatting>
  <conditionalFormatting sqref="W22">
    <cfRule type="cellIs" dxfId="15" priority="16" operator="lessThan">
      <formula>0</formula>
    </cfRule>
  </conditionalFormatting>
  <conditionalFormatting sqref="U21">
    <cfRule type="cellIs" dxfId="14" priority="15" operator="lessThan">
      <formula>0</formula>
    </cfRule>
  </conditionalFormatting>
  <conditionalFormatting sqref="G4">
    <cfRule type="cellIs" dxfId="13" priority="14" operator="lessThan">
      <formula>0</formula>
    </cfRule>
  </conditionalFormatting>
  <conditionalFormatting sqref="AD67">
    <cfRule type="cellIs" dxfId="12" priority="13" operator="lessThan">
      <formula>0</formula>
    </cfRule>
  </conditionalFormatting>
  <conditionalFormatting sqref="P52">
    <cfRule type="cellIs" dxfId="11" priority="12" operator="lessThan">
      <formula>0</formula>
    </cfRule>
  </conditionalFormatting>
  <conditionalFormatting sqref="T41">
    <cfRule type="cellIs" dxfId="10" priority="11" operator="lessThan">
      <formula>0</formula>
    </cfRule>
  </conditionalFormatting>
  <conditionalFormatting sqref="W58">
    <cfRule type="cellIs" dxfId="9" priority="10" operator="lessThan">
      <formula>0</formula>
    </cfRule>
  </conditionalFormatting>
  <conditionalFormatting sqref="I42">
    <cfRule type="cellIs" dxfId="8" priority="9" operator="lessThan">
      <formula>0</formula>
    </cfRule>
  </conditionalFormatting>
  <conditionalFormatting sqref="I122">
    <cfRule type="cellIs" dxfId="7" priority="1" operator="lessThan">
      <formula>0</formula>
    </cfRule>
  </conditionalFormatting>
  <conditionalFormatting sqref="Y103">
    <cfRule type="cellIs" dxfId="6" priority="8" operator="lessThan">
      <formula>0</formula>
    </cfRule>
  </conditionalFormatting>
  <conditionalFormatting sqref="W102">
    <cfRule type="cellIs" dxfId="5" priority="7" operator="lessThan">
      <formula>0</formula>
    </cfRule>
  </conditionalFormatting>
  <conditionalFormatting sqref="U101">
    <cfRule type="cellIs" dxfId="4" priority="6" operator="lessThan">
      <formula>0</formula>
    </cfRule>
  </conditionalFormatting>
  <conditionalFormatting sqref="R86">
    <cfRule type="cellIs" dxfId="3" priority="5" operator="lessThan">
      <formula>0</formula>
    </cfRule>
  </conditionalFormatting>
  <conditionalFormatting sqref="W138">
    <cfRule type="cellIs" dxfId="2" priority="4" operator="lessThan">
      <formula>0</formula>
    </cfRule>
  </conditionalFormatting>
  <conditionalFormatting sqref="T121">
    <cfRule type="cellIs" dxfId="1" priority="3" operator="lessThan">
      <formula>0</formula>
    </cfRule>
  </conditionalFormatting>
  <conditionalFormatting sqref="P132"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7" r:id="rId4" name="Button 7">
              <controlPr defaultSize="0" print="0" autoFill="0" autoPict="0" macro="[0]!Sen2Balance">
                <anchor moveWithCells="1" sizeWithCells="1">
                  <from>
                    <xdr:col>8</xdr:col>
                    <xdr:colOff>352425</xdr:colOff>
                    <xdr:row>12</xdr:row>
                    <xdr:rowOff>104775</xdr:rowOff>
                  </from>
                  <to>
                    <xdr:col>9</xdr:col>
                    <xdr:colOff>266700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3" r:id="rId5" name="Button 23">
              <controlPr defaultSize="0" print="0" autoFill="0" autoPict="0" macro="[0]!exhaust_balance">
                <anchor moveWithCells="1" sizeWithCells="1">
                  <from>
                    <xdr:col>8</xdr:col>
                    <xdr:colOff>352425</xdr:colOff>
                    <xdr:row>92</xdr:row>
                    <xdr:rowOff>104775</xdr:rowOff>
                  </from>
                  <to>
                    <xdr:col>9</xdr:col>
                    <xdr:colOff>266700</xdr:colOff>
                    <xdr:row>93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showGridLines="0" view="pageLayout" zoomScaleNormal="100" workbookViewId="0">
      <selection activeCell="D33" sqref="D33"/>
    </sheetView>
  </sheetViews>
  <sheetFormatPr defaultRowHeight="15" x14ac:dyDescent="0.25"/>
  <cols>
    <col min="1" max="1" width="23" bestFit="1" customWidth="1"/>
    <col min="2" max="2" width="15.5703125" customWidth="1"/>
    <col min="3" max="3" width="14.28515625" bestFit="1" customWidth="1"/>
    <col min="4" max="4" width="15.140625" bestFit="1" customWidth="1"/>
    <col min="5" max="5" width="17.42578125" bestFit="1" customWidth="1"/>
    <col min="6" max="6" width="16.85546875" hidden="1" customWidth="1"/>
    <col min="7" max="9" width="0" hidden="1" customWidth="1"/>
    <col min="10" max="15" width="9.140625" customWidth="1"/>
  </cols>
  <sheetData>
    <row r="1" spans="1:6" x14ac:dyDescent="0.25">
      <c r="A1" s="132"/>
      <c r="B1" s="132"/>
    </row>
    <row r="2" spans="1:6" x14ac:dyDescent="0.25">
      <c r="A2" s="1"/>
    </row>
    <row r="3" spans="1:6" x14ac:dyDescent="0.25">
      <c r="A3" s="140" t="s">
        <v>69</v>
      </c>
      <c r="B3" s="140"/>
      <c r="C3" s="133"/>
      <c r="D3" s="209" t="s">
        <v>78</v>
      </c>
      <c r="E3" s="209"/>
      <c r="F3" s="141"/>
    </row>
    <row r="4" spans="1:6" x14ac:dyDescent="0.25">
      <c r="A4" s="1" t="s">
        <v>66</v>
      </c>
      <c r="B4" s="145">
        <f>'EMB (Separated Units)'!B5</f>
        <v>180</v>
      </c>
      <c r="C4" s="133"/>
      <c r="D4" s="1" t="s">
        <v>79</v>
      </c>
      <c r="E4" s="136">
        <f>B18+B27</f>
        <v>93.624390467705297</v>
      </c>
    </row>
    <row r="5" spans="1:6" x14ac:dyDescent="0.25">
      <c r="A5" s="1" t="s">
        <v>23</v>
      </c>
      <c r="B5" s="146">
        <v>0.87</v>
      </c>
      <c r="C5" s="133"/>
      <c r="D5" s="138" t="s">
        <v>75</v>
      </c>
      <c r="E5" s="139">
        <f>B22+B31</f>
        <v>10.12439046770529</v>
      </c>
    </row>
    <row r="6" spans="1:6" x14ac:dyDescent="0.25">
      <c r="C6" s="133"/>
    </row>
    <row r="7" spans="1:6" x14ac:dyDescent="0.25">
      <c r="A7" s="140" t="s">
        <v>70</v>
      </c>
      <c r="B7" s="140"/>
      <c r="C7" s="133"/>
      <c r="D7" s="210" t="s">
        <v>82</v>
      </c>
      <c r="E7" s="210"/>
    </row>
    <row r="8" spans="1:6" x14ac:dyDescent="0.25">
      <c r="A8" s="1" t="s">
        <v>18</v>
      </c>
      <c r="B8" s="142">
        <f>'EMB (Separated Units)'!B10</f>
        <v>4320000</v>
      </c>
      <c r="C8" s="133"/>
      <c r="D8" t="s">
        <v>42</v>
      </c>
      <c r="E8" s="16">
        <f>'EMB (Separated Units)'!J8</f>
        <v>45</v>
      </c>
    </row>
    <row r="9" spans="1:6" x14ac:dyDescent="0.25">
      <c r="A9" s="1" t="s">
        <v>67</v>
      </c>
      <c r="B9" s="142">
        <f>'EMB (Separated Units)'!B11*Summary!B8</f>
        <v>259200</v>
      </c>
      <c r="C9" s="133"/>
      <c r="D9" t="s">
        <v>89</v>
      </c>
      <c r="E9" s="43">
        <f>'EMB (Separated Units)'!J9</f>
        <v>450</v>
      </c>
    </row>
    <row r="10" spans="1:6" x14ac:dyDescent="0.25">
      <c r="B10" s="15"/>
      <c r="C10" s="133"/>
      <c r="D10" t="s">
        <v>90</v>
      </c>
      <c r="E10" s="7">
        <f>'EMB (Separated Units)'!J12</f>
        <v>1.9469232633710738</v>
      </c>
    </row>
    <row r="11" spans="1:6" x14ac:dyDescent="0.25">
      <c r="A11" s="140" t="s">
        <v>71</v>
      </c>
      <c r="B11" s="143"/>
      <c r="C11" s="133"/>
      <c r="D11" t="s">
        <v>88</v>
      </c>
      <c r="E11" s="149">
        <f>'EMB (Separated Units)'!L1/'EMB (Separated Units)'!B43/'EMB (Separated Units)'!B42</f>
        <v>170.26073359444413</v>
      </c>
    </row>
    <row r="12" spans="1:6" x14ac:dyDescent="0.25">
      <c r="A12" s="1" t="s">
        <v>2</v>
      </c>
      <c r="B12" s="144">
        <f>'EMB (Separated Units)'!B50</f>
        <v>7098.09</v>
      </c>
      <c r="D12" t="s">
        <v>83</v>
      </c>
      <c r="E12">
        <f>'EMB (Separated Units)'!B42</f>
        <v>4</v>
      </c>
    </row>
    <row r="13" spans="1:6" x14ac:dyDescent="0.25">
      <c r="A13" s="1" t="s">
        <v>68</v>
      </c>
      <c r="B13" s="142">
        <f>'EMB (Separated Units)'!B16*Summary!B8</f>
        <v>1296000</v>
      </c>
    </row>
    <row r="14" spans="1:6" x14ac:dyDescent="0.25">
      <c r="A14" s="1" t="s">
        <v>72</v>
      </c>
      <c r="B14" s="142">
        <f>'EMB (Separated Units)'!B17*Summary!B13</f>
        <v>38880</v>
      </c>
      <c r="D14" s="209" t="s">
        <v>95</v>
      </c>
      <c r="E14" s="209"/>
    </row>
    <row r="15" spans="1:6" x14ac:dyDescent="0.25">
      <c r="A15" s="1" t="s">
        <v>77</v>
      </c>
      <c r="B15" s="137">
        <f>B8/B4/24/B5</f>
        <v>1149.4252873563219</v>
      </c>
      <c r="D15" t="s">
        <v>91</v>
      </c>
      <c r="E15" s="150">
        <f>'EMB (Separated Units)'!V21/'EMB (Separated Units)'!B46</f>
        <v>61.585977268055487</v>
      </c>
    </row>
    <row r="16" spans="1:6" x14ac:dyDescent="0.25">
      <c r="D16" t="s">
        <v>92</v>
      </c>
      <c r="E16">
        <f>'EMB (Separated Units)'!B46</f>
        <v>1</v>
      </c>
    </row>
    <row r="17" spans="1:6" x14ac:dyDescent="0.25">
      <c r="A17" s="210" t="s">
        <v>6</v>
      </c>
      <c r="B17" s="210"/>
      <c r="D17" t="s">
        <v>93</v>
      </c>
      <c r="E17" s="16">
        <f>E8</f>
        <v>45</v>
      </c>
    </row>
    <row r="18" spans="1:6" x14ac:dyDescent="0.25">
      <c r="A18" s="1" t="s">
        <v>73</v>
      </c>
      <c r="B18" s="136">
        <f>'EMB (Separated Units)'!AB21+'EMB (Separated Units)'!V21</f>
        <v>61.585977268055487</v>
      </c>
      <c r="D18" t="s">
        <v>94</v>
      </c>
      <c r="E18" s="43">
        <f>E9</f>
        <v>450</v>
      </c>
    </row>
    <row r="19" spans="1:6" x14ac:dyDescent="0.25">
      <c r="A19" s="1" t="s">
        <v>74</v>
      </c>
      <c r="B19" s="136">
        <f>'EMB (Separated Units)'!B32</f>
        <v>28</v>
      </c>
    </row>
    <row r="20" spans="1:6" x14ac:dyDescent="0.25">
      <c r="A20" s="1" t="s">
        <v>17</v>
      </c>
      <c r="B20" s="136">
        <f>'EMB (Separated Units)'!B33</f>
        <v>21</v>
      </c>
      <c r="D20" s="209" t="s">
        <v>96</v>
      </c>
      <c r="E20" s="209"/>
      <c r="F20" s="22"/>
    </row>
    <row r="21" spans="1:6" x14ac:dyDescent="0.25">
      <c r="A21" s="1" t="s">
        <v>39</v>
      </c>
      <c r="B21" s="136">
        <f>'EMB (Separated Units)'!B34</f>
        <v>5</v>
      </c>
      <c r="D21" s="133" t="s">
        <v>97</v>
      </c>
      <c r="E21" s="150">
        <f>'EMB (Separated Units)'!AB100</f>
        <v>32.038413199649803</v>
      </c>
      <c r="F21" s="22"/>
    </row>
    <row r="22" spans="1:6" x14ac:dyDescent="0.25">
      <c r="A22" s="138" t="s">
        <v>75</v>
      </c>
      <c r="B22" s="139">
        <f>'EMB (Separated Units)'!AF22</f>
        <v>7.5859772680554869</v>
      </c>
      <c r="D22" s="133" t="s">
        <v>98</v>
      </c>
      <c r="E22" s="133">
        <f>'EMB (Separated Units)'!B47</f>
        <v>1</v>
      </c>
    </row>
    <row r="23" spans="1:6" x14ac:dyDescent="0.25">
      <c r="A23" s="1" t="s">
        <v>76</v>
      </c>
      <c r="B23" s="137">
        <f>'EMB (Separated Units)'!L1</f>
        <v>544.83434750222125</v>
      </c>
      <c r="D23" s="133" t="s">
        <v>93</v>
      </c>
      <c r="E23" s="16">
        <f>E8</f>
        <v>45</v>
      </c>
    </row>
    <row r="24" spans="1:6" x14ac:dyDescent="0.25">
      <c r="A24" s="1" t="s">
        <v>80</v>
      </c>
      <c r="B24" s="137">
        <f>'EMB (Separated Units)'!G4</f>
        <v>279.84377081141207</v>
      </c>
      <c r="D24" s="133" t="s">
        <v>94</v>
      </c>
      <c r="E24" s="43">
        <f>E9</f>
        <v>450</v>
      </c>
    </row>
    <row r="26" spans="1:6" x14ac:dyDescent="0.25">
      <c r="A26" s="210" t="s">
        <v>7</v>
      </c>
      <c r="B26" s="210"/>
    </row>
    <row r="27" spans="1:6" x14ac:dyDescent="0.25">
      <c r="A27" s="1" t="s">
        <v>73</v>
      </c>
      <c r="B27" s="136">
        <f>'EMB (Separated Units)'!AB100+'EMB (Separated Units)'!V100</f>
        <v>32.038413199649803</v>
      </c>
    </row>
    <row r="28" spans="1:6" x14ac:dyDescent="0.25">
      <c r="A28" s="1" t="s">
        <v>74</v>
      </c>
      <c r="B28" s="136">
        <f>'EMB (Separated Units)'!B37</f>
        <v>4.5</v>
      </c>
    </row>
    <row r="29" spans="1:6" x14ac:dyDescent="0.25">
      <c r="A29" s="1" t="s">
        <v>17</v>
      </c>
      <c r="B29" s="136">
        <f>'EMB (Separated Units)'!B38</f>
        <v>21</v>
      </c>
    </row>
    <row r="30" spans="1:6" x14ac:dyDescent="0.25">
      <c r="A30" s="1" t="s">
        <v>39</v>
      </c>
      <c r="B30" s="136">
        <f>'EMB (Separated Units)'!B39</f>
        <v>4</v>
      </c>
    </row>
    <row r="31" spans="1:6" x14ac:dyDescent="0.25">
      <c r="A31" s="138" t="s">
        <v>75</v>
      </c>
      <c r="B31" s="139">
        <f>'EMB (Separated Units)'!AF101</f>
        <v>2.5384131996498027</v>
      </c>
    </row>
    <row r="32" spans="1:6" x14ac:dyDescent="0.25">
      <c r="A32" s="1" t="s">
        <v>76</v>
      </c>
      <c r="B32" s="137">
        <f>'EMB (Separated Units)'!L80</f>
        <v>138.53571794102567</v>
      </c>
    </row>
    <row r="33" spans="1:2" x14ac:dyDescent="0.25">
      <c r="A33" s="1" t="s">
        <v>80</v>
      </c>
      <c r="B33" s="137">
        <f>'EMB (Separated Units)'!G83</f>
        <v>71.156229188587929</v>
      </c>
    </row>
  </sheetData>
  <mergeCells count="6">
    <mergeCell ref="D14:E14"/>
    <mergeCell ref="D20:E20"/>
    <mergeCell ref="A17:B17"/>
    <mergeCell ref="A26:B26"/>
    <mergeCell ref="D3:E3"/>
    <mergeCell ref="D7:E7"/>
  </mergeCells>
  <pageMargins left="0.7" right="0.7" top="0.75" bottom="0.75" header="0.3" footer="0.3"/>
  <pageSetup orientation="portrait" r:id="rId1"/>
  <headerFooter>
    <oddHeader>&amp;CDSR PROJECT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5"/>
  <sheetViews>
    <sheetView showGridLines="0" workbookViewId="0">
      <selection activeCell="D23" sqref="D23"/>
    </sheetView>
  </sheetViews>
  <sheetFormatPr defaultRowHeight="15" x14ac:dyDescent="0.25"/>
  <sheetData>
    <row r="1" spans="1:4" x14ac:dyDescent="0.25">
      <c r="A1" s="9"/>
      <c r="B1" s="9" t="s">
        <v>8</v>
      </c>
      <c r="C1" s="9" t="s">
        <v>9</v>
      </c>
      <c r="D1" s="9"/>
    </row>
    <row r="2" spans="1:4" x14ac:dyDescent="0.25">
      <c r="A2" s="9">
        <v>190</v>
      </c>
      <c r="B2" s="9" t="s">
        <v>10</v>
      </c>
      <c r="C2" s="9" t="s">
        <v>11</v>
      </c>
      <c r="D2" s="9">
        <f>CONVERT(A2,"cal","J")</f>
        <v>795.49199999999996</v>
      </c>
    </row>
    <row r="3" spans="1:4" x14ac:dyDescent="0.25">
      <c r="A3" s="9">
        <v>1</v>
      </c>
      <c r="B3" s="9" t="s">
        <v>12</v>
      </c>
      <c r="C3" s="9" t="s">
        <v>13</v>
      </c>
      <c r="D3" s="9">
        <f>CONVERT(A3,"J","cal")</f>
        <v>0.23884589662749595</v>
      </c>
    </row>
    <row r="4" spans="1:4" x14ac:dyDescent="0.25">
      <c r="A4" s="9">
        <v>1</v>
      </c>
      <c r="B4" s="9" t="s">
        <v>14</v>
      </c>
      <c r="C4" s="10" t="s">
        <v>15</v>
      </c>
      <c r="D4" s="9">
        <f>CONVERT(A4,"F","C")</f>
        <v>-17.222222222222221</v>
      </c>
    </row>
    <row r="5" spans="1:4" x14ac:dyDescent="0.25">
      <c r="A5" s="9">
        <v>1</v>
      </c>
      <c r="B5" s="10" t="s">
        <v>15</v>
      </c>
      <c r="C5" s="9" t="s">
        <v>14</v>
      </c>
      <c r="D5" s="9">
        <f>CONVERT(A5,"C","F")</f>
        <v>33.799999999999997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EMB (Separated Units)</vt:lpstr>
      <vt:lpstr>EMB (Combined Units) </vt:lpstr>
      <vt:lpstr>Summary</vt:lpstr>
      <vt:lpstr>Unit Conventer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Elgailani</dc:creator>
  <cp:lastModifiedBy>Ahmed Elgailani </cp:lastModifiedBy>
  <cp:lastPrinted>2014-02-25T06:30:48Z</cp:lastPrinted>
  <dcterms:created xsi:type="dcterms:W3CDTF">2013-12-18T07:34:18Z</dcterms:created>
  <dcterms:modified xsi:type="dcterms:W3CDTF">2015-04-07T16:11:52Z</dcterms:modified>
</cp:coreProperties>
</file>